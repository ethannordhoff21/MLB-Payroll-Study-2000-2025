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han\Downloads\"/>
    </mc:Choice>
  </mc:AlternateContent>
  <xr:revisionPtr revIDLastSave="0" documentId="13_ncr:1_{A7423118-6B2C-4D64-84BE-5B4A93D3B501}" xr6:coauthVersionLast="47" xr6:coauthVersionMax="47" xr10:uidLastSave="{00000000-0000-0000-0000-000000000000}"/>
  <bookViews>
    <workbookView xWindow="28680" yWindow="-120" windowWidth="51840" windowHeight="21120" xr2:uid="{003C3CB6-96FA-4BE8-A5E9-F1FE65BBB638}"/>
  </bookViews>
  <sheets>
    <sheet name="Sheet1" sheetId="1" r:id="rId1"/>
  </sheets>
  <definedNames>
    <definedName name="_xlnm._FilterDatabase" localSheetId="0" hidden="1">Sheet1!$A$1:$Q$781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2" i="1"/>
  <c r="S3" i="1"/>
  <c r="T3" i="1" s="1"/>
  <c r="S4" i="1"/>
  <c r="T4" i="1" s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T29" i="1" s="1"/>
  <c r="S30" i="1"/>
  <c r="T30" i="1" s="1"/>
  <c r="S31" i="1"/>
  <c r="T31" i="1" s="1"/>
  <c r="S32" i="1"/>
  <c r="T32" i="1" s="1"/>
  <c r="S33" i="1"/>
  <c r="T33" i="1" s="1"/>
  <c r="S34" i="1"/>
  <c r="T34" i="1" s="1"/>
  <c r="S35" i="1"/>
  <c r="T35" i="1" s="1"/>
  <c r="S36" i="1"/>
  <c r="T36" i="1" s="1"/>
  <c r="S37" i="1"/>
  <c r="T37" i="1" s="1"/>
  <c r="S38" i="1"/>
  <c r="T38" i="1" s="1"/>
  <c r="S39" i="1"/>
  <c r="T39" i="1" s="1"/>
  <c r="S40" i="1"/>
  <c r="T40" i="1" s="1"/>
  <c r="S41" i="1"/>
  <c r="T41" i="1" s="1"/>
  <c r="S42" i="1"/>
  <c r="T42" i="1" s="1"/>
  <c r="S43" i="1"/>
  <c r="T43" i="1" s="1"/>
  <c r="S44" i="1"/>
  <c r="T44" i="1" s="1"/>
  <c r="S45" i="1"/>
  <c r="T45" i="1" s="1"/>
  <c r="S46" i="1"/>
  <c r="T46" i="1" s="1"/>
  <c r="S47" i="1"/>
  <c r="T47" i="1" s="1"/>
  <c r="S48" i="1"/>
  <c r="T48" i="1" s="1"/>
  <c r="S49" i="1"/>
  <c r="T49" i="1" s="1"/>
  <c r="S50" i="1"/>
  <c r="T50" i="1" s="1"/>
  <c r="S51" i="1"/>
  <c r="T51" i="1" s="1"/>
  <c r="S52" i="1"/>
  <c r="T52" i="1" s="1"/>
  <c r="S53" i="1"/>
  <c r="T53" i="1" s="1"/>
  <c r="S54" i="1"/>
  <c r="T54" i="1" s="1"/>
  <c r="S55" i="1"/>
  <c r="T55" i="1" s="1"/>
  <c r="S56" i="1"/>
  <c r="T56" i="1" s="1"/>
  <c r="S57" i="1"/>
  <c r="T57" i="1" s="1"/>
  <c r="S58" i="1"/>
  <c r="T58" i="1" s="1"/>
  <c r="S59" i="1"/>
  <c r="T59" i="1" s="1"/>
  <c r="S60" i="1"/>
  <c r="T60" i="1" s="1"/>
  <c r="S61" i="1"/>
  <c r="T61" i="1" s="1"/>
  <c r="S62" i="1"/>
  <c r="T62" i="1" s="1"/>
  <c r="S63" i="1"/>
  <c r="T63" i="1" s="1"/>
  <c r="S64" i="1"/>
  <c r="T64" i="1" s="1"/>
  <c r="S65" i="1"/>
  <c r="T65" i="1" s="1"/>
  <c r="S66" i="1"/>
  <c r="T66" i="1" s="1"/>
  <c r="S67" i="1"/>
  <c r="T67" i="1" s="1"/>
  <c r="S68" i="1"/>
  <c r="T68" i="1" s="1"/>
  <c r="S69" i="1"/>
  <c r="T69" i="1" s="1"/>
  <c r="S70" i="1"/>
  <c r="T70" i="1" s="1"/>
  <c r="S71" i="1"/>
  <c r="T71" i="1" s="1"/>
  <c r="S72" i="1"/>
  <c r="T72" i="1" s="1"/>
  <c r="S73" i="1"/>
  <c r="T73" i="1" s="1"/>
  <c r="S74" i="1"/>
  <c r="T74" i="1" s="1"/>
  <c r="S75" i="1"/>
  <c r="T75" i="1" s="1"/>
  <c r="S76" i="1"/>
  <c r="T76" i="1" s="1"/>
  <c r="S77" i="1"/>
  <c r="T77" i="1" s="1"/>
  <c r="S78" i="1"/>
  <c r="T78" i="1" s="1"/>
  <c r="S79" i="1"/>
  <c r="T79" i="1" s="1"/>
  <c r="S80" i="1"/>
  <c r="T80" i="1" s="1"/>
  <c r="S81" i="1"/>
  <c r="T81" i="1" s="1"/>
  <c r="S82" i="1"/>
  <c r="T82" i="1" s="1"/>
  <c r="S83" i="1"/>
  <c r="T83" i="1" s="1"/>
  <c r="S84" i="1"/>
  <c r="T84" i="1" s="1"/>
  <c r="S85" i="1"/>
  <c r="T85" i="1" s="1"/>
  <c r="S86" i="1"/>
  <c r="T86" i="1" s="1"/>
  <c r="S87" i="1"/>
  <c r="T87" i="1" s="1"/>
  <c r="S88" i="1"/>
  <c r="T88" i="1" s="1"/>
  <c r="S89" i="1"/>
  <c r="T89" i="1" s="1"/>
  <c r="S90" i="1"/>
  <c r="T90" i="1" s="1"/>
  <c r="S91" i="1"/>
  <c r="T91" i="1" s="1"/>
  <c r="S92" i="1"/>
  <c r="T92" i="1" s="1"/>
  <c r="S93" i="1"/>
  <c r="T93" i="1" s="1"/>
  <c r="S94" i="1"/>
  <c r="T94" i="1" s="1"/>
  <c r="S95" i="1"/>
  <c r="T95" i="1" s="1"/>
  <c r="S96" i="1"/>
  <c r="T96" i="1" s="1"/>
  <c r="S97" i="1"/>
  <c r="T97" i="1" s="1"/>
  <c r="S98" i="1"/>
  <c r="T98" i="1" s="1"/>
  <c r="S99" i="1"/>
  <c r="T99" i="1" s="1"/>
  <c r="S100" i="1"/>
  <c r="T100" i="1" s="1"/>
  <c r="S101" i="1"/>
  <c r="T101" i="1" s="1"/>
  <c r="S102" i="1"/>
  <c r="T102" i="1" s="1"/>
  <c r="S103" i="1"/>
  <c r="T103" i="1" s="1"/>
  <c r="S104" i="1"/>
  <c r="T104" i="1" s="1"/>
  <c r="S105" i="1"/>
  <c r="T105" i="1" s="1"/>
  <c r="S106" i="1"/>
  <c r="T106" i="1" s="1"/>
  <c r="S107" i="1"/>
  <c r="T107" i="1" s="1"/>
  <c r="S108" i="1"/>
  <c r="T108" i="1" s="1"/>
  <c r="S109" i="1"/>
  <c r="T109" i="1" s="1"/>
  <c r="S110" i="1"/>
  <c r="T110" i="1" s="1"/>
  <c r="S111" i="1"/>
  <c r="T111" i="1" s="1"/>
  <c r="S112" i="1"/>
  <c r="T112" i="1" s="1"/>
  <c r="S113" i="1"/>
  <c r="T113" i="1" s="1"/>
  <c r="S114" i="1"/>
  <c r="T114" i="1" s="1"/>
  <c r="S115" i="1"/>
  <c r="T115" i="1" s="1"/>
  <c r="S116" i="1"/>
  <c r="T116" i="1" s="1"/>
  <c r="S117" i="1"/>
  <c r="T117" i="1" s="1"/>
  <c r="S118" i="1"/>
  <c r="T118" i="1" s="1"/>
  <c r="S119" i="1"/>
  <c r="T119" i="1" s="1"/>
  <c r="S120" i="1"/>
  <c r="T120" i="1" s="1"/>
  <c r="S121" i="1"/>
  <c r="T121" i="1" s="1"/>
  <c r="S122" i="1"/>
  <c r="T122" i="1" s="1"/>
  <c r="S123" i="1"/>
  <c r="T123" i="1" s="1"/>
  <c r="S124" i="1"/>
  <c r="T124" i="1" s="1"/>
  <c r="S125" i="1"/>
  <c r="T125" i="1" s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T168" i="1" s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6" i="1"/>
  <c r="T216" i="1" s="1"/>
  <c r="S217" i="1"/>
  <c r="T217" i="1" s="1"/>
  <c r="S218" i="1"/>
  <c r="T218" i="1" s="1"/>
  <c r="S219" i="1"/>
  <c r="T219" i="1" s="1"/>
  <c r="S220" i="1"/>
  <c r="T220" i="1" s="1"/>
  <c r="S221" i="1"/>
  <c r="T221" i="1" s="1"/>
  <c r="S222" i="1"/>
  <c r="T222" i="1" s="1"/>
  <c r="S223" i="1"/>
  <c r="T223" i="1" s="1"/>
  <c r="S224" i="1"/>
  <c r="T224" i="1" s="1"/>
  <c r="S225" i="1"/>
  <c r="T225" i="1" s="1"/>
  <c r="S226" i="1"/>
  <c r="T226" i="1" s="1"/>
  <c r="S227" i="1"/>
  <c r="T227" i="1" s="1"/>
  <c r="S228" i="1"/>
  <c r="T228" i="1" s="1"/>
  <c r="S229" i="1"/>
  <c r="T229" i="1" s="1"/>
  <c r="S230" i="1"/>
  <c r="T230" i="1" s="1"/>
  <c r="S231" i="1"/>
  <c r="T231" i="1" s="1"/>
  <c r="S232" i="1"/>
  <c r="T232" i="1" s="1"/>
  <c r="S233" i="1"/>
  <c r="T233" i="1" s="1"/>
  <c r="S234" i="1"/>
  <c r="T234" i="1" s="1"/>
  <c r="S235" i="1"/>
  <c r="T235" i="1" s="1"/>
  <c r="S236" i="1"/>
  <c r="T236" i="1" s="1"/>
  <c r="S237" i="1"/>
  <c r="T237" i="1" s="1"/>
  <c r="S238" i="1"/>
  <c r="T238" i="1" s="1"/>
  <c r="S239" i="1"/>
  <c r="T239" i="1" s="1"/>
  <c r="S240" i="1"/>
  <c r="T240" i="1" s="1"/>
  <c r="S241" i="1"/>
  <c r="T241" i="1" s="1"/>
  <c r="S242" i="1"/>
  <c r="T242" i="1" s="1"/>
  <c r="S243" i="1"/>
  <c r="T243" i="1" s="1"/>
  <c r="S244" i="1"/>
  <c r="T244" i="1" s="1"/>
  <c r="S245" i="1"/>
  <c r="T245" i="1" s="1"/>
  <c r="S246" i="1"/>
  <c r="T246" i="1" s="1"/>
  <c r="S247" i="1"/>
  <c r="T247" i="1" s="1"/>
  <c r="S248" i="1"/>
  <c r="T248" i="1" s="1"/>
  <c r="S249" i="1"/>
  <c r="T249" i="1" s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T292" i="1" s="1"/>
  <c r="S293" i="1"/>
  <c r="T293" i="1" s="1"/>
  <c r="S294" i="1"/>
  <c r="T294" i="1" s="1"/>
  <c r="S295" i="1"/>
  <c r="T295" i="1" s="1"/>
  <c r="S296" i="1"/>
  <c r="T296" i="1" s="1"/>
  <c r="S297" i="1"/>
  <c r="T297" i="1" s="1"/>
  <c r="S298" i="1"/>
  <c r="T298" i="1" s="1"/>
  <c r="S299" i="1"/>
  <c r="T299" i="1" s="1"/>
  <c r="S300" i="1"/>
  <c r="T300" i="1" s="1"/>
  <c r="S301" i="1"/>
  <c r="T301" i="1" s="1"/>
  <c r="S302" i="1"/>
  <c r="T302" i="1" s="1"/>
  <c r="S303" i="1"/>
  <c r="T303" i="1" s="1"/>
  <c r="S304" i="1"/>
  <c r="T304" i="1" s="1"/>
  <c r="S305" i="1"/>
  <c r="T305" i="1" s="1"/>
  <c r="S306" i="1"/>
  <c r="T306" i="1" s="1"/>
  <c r="S307" i="1"/>
  <c r="T307" i="1" s="1"/>
  <c r="S308" i="1"/>
  <c r="T308" i="1" s="1"/>
  <c r="S309" i="1"/>
  <c r="T309" i="1" s="1"/>
  <c r="S310" i="1"/>
  <c r="T310" i="1" s="1"/>
  <c r="S311" i="1"/>
  <c r="T311" i="1" s="1"/>
  <c r="S312" i="1"/>
  <c r="T312" i="1" s="1"/>
  <c r="S313" i="1"/>
  <c r="T313" i="1" s="1"/>
  <c r="S314" i="1"/>
  <c r="T314" i="1" s="1"/>
  <c r="S315" i="1"/>
  <c r="T315" i="1" s="1"/>
  <c r="S316" i="1"/>
  <c r="T316" i="1" s="1"/>
  <c r="S317" i="1"/>
  <c r="T317" i="1" s="1"/>
  <c r="S318" i="1"/>
  <c r="T318" i="1" s="1"/>
  <c r="S319" i="1"/>
  <c r="T319" i="1" s="1"/>
  <c r="S320" i="1"/>
  <c r="T320" i="1" s="1"/>
  <c r="S321" i="1"/>
  <c r="T321" i="1" s="1"/>
  <c r="S322" i="1"/>
  <c r="T322" i="1" s="1"/>
  <c r="S323" i="1"/>
  <c r="T323" i="1" s="1"/>
  <c r="S324" i="1"/>
  <c r="T324" i="1" s="1"/>
  <c r="S325" i="1"/>
  <c r="T325" i="1" s="1"/>
  <c r="S326" i="1"/>
  <c r="T326" i="1" s="1"/>
  <c r="S327" i="1"/>
  <c r="T327" i="1" s="1"/>
  <c r="S328" i="1"/>
  <c r="T328" i="1" s="1"/>
  <c r="S329" i="1"/>
  <c r="T329" i="1" s="1"/>
  <c r="S330" i="1"/>
  <c r="T330" i="1" s="1"/>
  <c r="S331" i="1"/>
  <c r="T331" i="1" s="1"/>
  <c r="S332" i="1"/>
  <c r="T332" i="1" s="1"/>
  <c r="S333" i="1"/>
  <c r="T333" i="1" s="1"/>
  <c r="S334" i="1"/>
  <c r="T334" i="1" s="1"/>
  <c r="S335" i="1"/>
  <c r="T335" i="1" s="1"/>
  <c r="S336" i="1"/>
  <c r="T336" i="1" s="1"/>
  <c r="S337" i="1"/>
  <c r="T337" i="1" s="1"/>
  <c r="S338" i="1"/>
  <c r="T338" i="1" s="1"/>
  <c r="S339" i="1"/>
  <c r="T339" i="1" s="1"/>
  <c r="S340" i="1"/>
  <c r="T340" i="1" s="1"/>
  <c r="S341" i="1"/>
  <c r="T341" i="1" s="1"/>
  <c r="S342" i="1"/>
  <c r="T342" i="1" s="1"/>
  <c r="S343" i="1"/>
  <c r="T343" i="1" s="1"/>
  <c r="S344" i="1"/>
  <c r="T344" i="1" s="1"/>
  <c r="S345" i="1"/>
  <c r="T345" i="1" s="1"/>
  <c r="S346" i="1"/>
  <c r="T346" i="1" s="1"/>
  <c r="S347" i="1"/>
  <c r="T347" i="1" s="1"/>
  <c r="S348" i="1"/>
  <c r="T348" i="1" s="1"/>
  <c r="S349" i="1"/>
  <c r="T349" i="1" s="1"/>
  <c r="S350" i="1"/>
  <c r="T350" i="1" s="1"/>
  <c r="S351" i="1"/>
  <c r="T351" i="1" s="1"/>
  <c r="S352" i="1"/>
  <c r="T352" i="1" s="1"/>
  <c r="S353" i="1"/>
  <c r="T353" i="1" s="1"/>
  <c r="S354" i="1"/>
  <c r="T354" i="1" s="1"/>
  <c r="S355" i="1"/>
  <c r="T355" i="1" s="1"/>
  <c r="S356" i="1"/>
  <c r="T356" i="1" s="1"/>
  <c r="S357" i="1"/>
  <c r="T357" i="1" s="1"/>
  <c r="S358" i="1"/>
  <c r="T358" i="1" s="1"/>
  <c r="S359" i="1"/>
  <c r="T359" i="1" s="1"/>
  <c r="S360" i="1"/>
  <c r="T360" i="1" s="1"/>
  <c r="S361" i="1"/>
  <c r="T361" i="1" s="1"/>
  <c r="S362" i="1"/>
  <c r="T362" i="1" s="1"/>
  <c r="S363" i="1"/>
  <c r="T363" i="1" s="1"/>
  <c r="S364" i="1"/>
  <c r="T364" i="1" s="1"/>
  <c r="S365" i="1"/>
  <c r="T365" i="1" s="1"/>
  <c r="S366" i="1"/>
  <c r="T366" i="1" s="1"/>
  <c r="S367" i="1"/>
  <c r="T367" i="1" s="1"/>
  <c r="S368" i="1"/>
  <c r="T368" i="1" s="1"/>
  <c r="S369" i="1"/>
  <c r="T369" i="1" s="1"/>
  <c r="S370" i="1"/>
  <c r="T370" i="1" s="1"/>
  <c r="S371" i="1"/>
  <c r="T371" i="1" s="1"/>
  <c r="S372" i="1"/>
  <c r="T372" i="1" s="1"/>
  <c r="S373" i="1"/>
  <c r="T373" i="1" s="1"/>
  <c r="S374" i="1"/>
  <c r="T374" i="1" s="1"/>
  <c r="S375" i="1"/>
  <c r="T375" i="1" s="1"/>
  <c r="S376" i="1"/>
  <c r="T376" i="1" s="1"/>
  <c r="S377" i="1"/>
  <c r="T377" i="1" s="1"/>
  <c r="S378" i="1"/>
  <c r="T378" i="1" s="1"/>
  <c r="S379" i="1"/>
  <c r="T379" i="1" s="1"/>
  <c r="S380" i="1"/>
  <c r="T380" i="1" s="1"/>
  <c r="S381" i="1"/>
  <c r="T381" i="1" s="1"/>
  <c r="S382" i="1"/>
  <c r="T382" i="1" s="1"/>
  <c r="S383" i="1"/>
  <c r="T383" i="1" s="1"/>
  <c r="S384" i="1"/>
  <c r="T384" i="1" s="1"/>
  <c r="S385" i="1"/>
  <c r="T385" i="1" s="1"/>
  <c r="S386" i="1"/>
  <c r="T386" i="1" s="1"/>
  <c r="S387" i="1"/>
  <c r="T387" i="1" s="1"/>
  <c r="S388" i="1"/>
  <c r="T388" i="1" s="1"/>
  <c r="S389" i="1"/>
  <c r="T389" i="1" s="1"/>
  <c r="S390" i="1"/>
  <c r="T390" i="1" s="1"/>
  <c r="S391" i="1"/>
  <c r="T391" i="1" s="1"/>
  <c r="S392" i="1"/>
  <c r="T392" i="1" s="1"/>
  <c r="S393" i="1"/>
  <c r="T393" i="1" s="1"/>
  <c r="S394" i="1"/>
  <c r="T394" i="1" s="1"/>
  <c r="S395" i="1"/>
  <c r="T395" i="1" s="1"/>
  <c r="S396" i="1"/>
  <c r="T396" i="1" s="1"/>
  <c r="S397" i="1"/>
  <c r="T397" i="1" s="1"/>
  <c r="S398" i="1"/>
  <c r="T398" i="1" s="1"/>
  <c r="S399" i="1"/>
  <c r="T399" i="1" s="1"/>
  <c r="S400" i="1"/>
  <c r="T400" i="1" s="1"/>
  <c r="S401" i="1"/>
  <c r="T401" i="1" s="1"/>
  <c r="S402" i="1"/>
  <c r="T402" i="1" s="1"/>
  <c r="S403" i="1"/>
  <c r="T403" i="1" s="1"/>
  <c r="S404" i="1"/>
  <c r="T404" i="1" s="1"/>
  <c r="S405" i="1"/>
  <c r="T405" i="1" s="1"/>
  <c r="S406" i="1"/>
  <c r="T406" i="1" s="1"/>
  <c r="S407" i="1"/>
  <c r="T407" i="1" s="1"/>
  <c r="S408" i="1"/>
  <c r="T408" i="1" s="1"/>
  <c r="S409" i="1"/>
  <c r="T409" i="1" s="1"/>
  <c r="S410" i="1"/>
  <c r="T410" i="1" s="1"/>
  <c r="S411" i="1"/>
  <c r="T411" i="1" s="1"/>
  <c r="S412" i="1"/>
  <c r="T412" i="1" s="1"/>
  <c r="S413" i="1"/>
  <c r="T413" i="1" s="1"/>
  <c r="S414" i="1"/>
  <c r="T414" i="1" s="1"/>
  <c r="S415" i="1"/>
  <c r="T415" i="1" s="1"/>
  <c r="S416" i="1"/>
  <c r="T416" i="1" s="1"/>
  <c r="S417" i="1"/>
  <c r="T417" i="1" s="1"/>
  <c r="S418" i="1"/>
  <c r="T418" i="1" s="1"/>
  <c r="S419" i="1"/>
  <c r="T419" i="1" s="1"/>
  <c r="S420" i="1"/>
  <c r="T420" i="1" s="1"/>
  <c r="S421" i="1"/>
  <c r="T421" i="1" s="1"/>
  <c r="S422" i="1"/>
  <c r="T422" i="1" s="1"/>
  <c r="S423" i="1"/>
  <c r="T423" i="1" s="1"/>
  <c r="S424" i="1"/>
  <c r="T424" i="1" s="1"/>
  <c r="S425" i="1"/>
  <c r="T425" i="1" s="1"/>
  <c r="S426" i="1"/>
  <c r="T426" i="1" s="1"/>
  <c r="S427" i="1"/>
  <c r="T427" i="1" s="1"/>
  <c r="S428" i="1"/>
  <c r="T428" i="1" s="1"/>
  <c r="S429" i="1"/>
  <c r="T429" i="1" s="1"/>
  <c r="S430" i="1"/>
  <c r="T430" i="1" s="1"/>
  <c r="S431" i="1"/>
  <c r="T431" i="1" s="1"/>
  <c r="S432" i="1"/>
  <c r="T432" i="1" s="1"/>
  <c r="S433" i="1"/>
  <c r="T433" i="1" s="1"/>
  <c r="S434" i="1"/>
  <c r="T434" i="1" s="1"/>
  <c r="S435" i="1"/>
  <c r="T435" i="1" s="1"/>
  <c r="S436" i="1"/>
  <c r="T436" i="1" s="1"/>
  <c r="S437" i="1"/>
  <c r="T437" i="1" s="1"/>
  <c r="S438" i="1"/>
  <c r="T438" i="1" s="1"/>
  <c r="S439" i="1"/>
  <c r="T439" i="1" s="1"/>
  <c r="S440" i="1"/>
  <c r="T440" i="1" s="1"/>
  <c r="S441" i="1"/>
  <c r="T441" i="1" s="1"/>
  <c r="S442" i="1"/>
  <c r="T442" i="1" s="1"/>
  <c r="S443" i="1"/>
  <c r="T443" i="1" s="1"/>
  <c r="S444" i="1"/>
  <c r="T444" i="1" s="1"/>
  <c r="S445" i="1"/>
  <c r="T445" i="1" s="1"/>
  <c r="S446" i="1"/>
  <c r="T446" i="1" s="1"/>
  <c r="S447" i="1"/>
  <c r="T447" i="1" s="1"/>
  <c r="S448" i="1"/>
  <c r="T448" i="1" s="1"/>
  <c r="S449" i="1"/>
  <c r="T449" i="1" s="1"/>
  <c r="S450" i="1"/>
  <c r="T450" i="1" s="1"/>
  <c r="S451" i="1"/>
  <c r="T451" i="1" s="1"/>
  <c r="S452" i="1"/>
  <c r="T452" i="1" s="1"/>
  <c r="S453" i="1"/>
  <c r="T453" i="1" s="1"/>
  <c r="S454" i="1"/>
  <c r="T454" i="1" s="1"/>
  <c r="S455" i="1"/>
  <c r="T455" i="1" s="1"/>
  <c r="S456" i="1"/>
  <c r="T456" i="1" s="1"/>
  <c r="S457" i="1"/>
  <c r="T457" i="1" s="1"/>
  <c r="S458" i="1"/>
  <c r="T458" i="1" s="1"/>
  <c r="S459" i="1"/>
  <c r="T459" i="1" s="1"/>
  <c r="S460" i="1"/>
  <c r="T460" i="1" s="1"/>
  <c r="S461" i="1"/>
  <c r="T461" i="1" s="1"/>
  <c r="S462" i="1"/>
  <c r="T462" i="1" s="1"/>
  <c r="S463" i="1"/>
  <c r="T463" i="1" s="1"/>
  <c r="S464" i="1"/>
  <c r="T464" i="1" s="1"/>
  <c r="S465" i="1"/>
  <c r="T465" i="1" s="1"/>
  <c r="S466" i="1"/>
  <c r="T466" i="1" s="1"/>
  <c r="S467" i="1"/>
  <c r="T467" i="1" s="1"/>
  <c r="S468" i="1"/>
  <c r="T468" i="1" s="1"/>
  <c r="S469" i="1"/>
  <c r="T469" i="1" s="1"/>
  <c r="S470" i="1"/>
  <c r="T470" i="1" s="1"/>
  <c r="S471" i="1"/>
  <c r="T471" i="1" s="1"/>
  <c r="S472" i="1"/>
  <c r="T472" i="1" s="1"/>
  <c r="S473" i="1"/>
  <c r="T473" i="1" s="1"/>
  <c r="S474" i="1"/>
  <c r="T474" i="1" s="1"/>
  <c r="S475" i="1"/>
  <c r="T475" i="1" s="1"/>
  <c r="S476" i="1"/>
  <c r="T476" i="1" s="1"/>
  <c r="S477" i="1"/>
  <c r="T477" i="1" s="1"/>
  <c r="S478" i="1"/>
  <c r="T478" i="1" s="1"/>
  <c r="S479" i="1"/>
  <c r="T479" i="1" s="1"/>
  <c r="S480" i="1"/>
  <c r="T480" i="1" s="1"/>
  <c r="S481" i="1"/>
  <c r="T481" i="1" s="1"/>
  <c r="S482" i="1"/>
  <c r="T482" i="1" s="1"/>
  <c r="S483" i="1"/>
  <c r="T483" i="1" s="1"/>
  <c r="S484" i="1"/>
  <c r="T484" i="1" s="1"/>
  <c r="S485" i="1"/>
  <c r="T485" i="1" s="1"/>
  <c r="S486" i="1"/>
  <c r="T486" i="1" s="1"/>
  <c r="S487" i="1"/>
  <c r="T487" i="1" s="1"/>
  <c r="S488" i="1"/>
  <c r="T488" i="1" s="1"/>
  <c r="S489" i="1"/>
  <c r="T489" i="1" s="1"/>
  <c r="S490" i="1"/>
  <c r="T490" i="1" s="1"/>
  <c r="S491" i="1"/>
  <c r="T491" i="1" s="1"/>
  <c r="S492" i="1"/>
  <c r="T492" i="1" s="1"/>
  <c r="S493" i="1"/>
  <c r="T493" i="1" s="1"/>
  <c r="S494" i="1"/>
  <c r="T494" i="1" s="1"/>
  <c r="S495" i="1"/>
  <c r="T495" i="1" s="1"/>
  <c r="S496" i="1"/>
  <c r="T496" i="1" s="1"/>
  <c r="S497" i="1"/>
  <c r="T497" i="1" s="1"/>
  <c r="S498" i="1"/>
  <c r="T498" i="1" s="1"/>
  <c r="S499" i="1"/>
  <c r="T499" i="1" s="1"/>
  <c r="S500" i="1"/>
  <c r="T500" i="1" s="1"/>
  <c r="S501" i="1"/>
  <c r="T501" i="1" s="1"/>
  <c r="S502" i="1"/>
  <c r="T502" i="1" s="1"/>
  <c r="S503" i="1"/>
  <c r="T503" i="1" s="1"/>
  <c r="S504" i="1"/>
  <c r="T504" i="1" s="1"/>
  <c r="S505" i="1"/>
  <c r="T505" i="1" s="1"/>
  <c r="S506" i="1"/>
  <c r="T506" i="1" s="1"/>
  <c r="S507" i="1"/>
  <c r="T507" i="1" s="1"/>
  <c r="S508" i="1"/>
  <c r="T508" i="1" s="1"/>
  <c r="S509" i="1"/>
  <c r="T509" i="1" s="1"/>
  <c r="S510" i="1"/>
  <c r="T510" i="1" s="1"/>
  <c r="S511" i="1"/>
  <c r="T511" i="1" s="1"/>
  <c r="S512" i="1"/>
  <c r="T512" i="1" s="1"/>
  <c r="S513" i="1"/>
  <c r="T513" i="1" s="1"/>
  <c r="S514" i="1"/>
  <c r="T514" i="1" s="1"/>
  <c r="S515" i="1"/>
  <c r="T515" i="1" s="1"/>
  <c r="S516" i="1"/>
  <c r="T516" i="1" s="1"/>
  <c r="S517" i="1"/>
  <c r="T517" i="1" s="1"/>
  <c r="S518" i="1"/>
  <c r="T518" i="1" s="1"/>
  <c r="S519" i="1"/>
  <c r="T519" i="1" s="1"/>
  <c r="S520" i="1"/>
  <c r="T520" i="1" s="1"/>
  <c r="S521" i="1"/>
  <c r="T521" i="1" s="1"/>
  <c r="S522" i="1"/>
  <c r="T522" i="1" s="1"/>
  <c r="S523" i="1"/>
  <c r="T523" i="1" s="1"/>
  <c r="S524" i="1"/>
  <c r="T524" i="1" s="1"/>
  <c r="S525" i="1"/>
  <c r="T525" i="1" s="1"/>
  <c r="S526" i="1"/>
  <c r="T526" i="1" s="1"/>
  <c r="S527" i="1"/>
  <c r="T527" i="1" s="1"/>
  <c r="S528" i="1"/>
  <c r="T528" i="1" s="1"/>
  <c r="S529" i="1"/>
  <c r="T529" i="1" s="1"/>
  <c r="S530" i="1"/>
  <c r="T530" i="1" s="1"/>
  <c r="S531" i="1"/>
  <c r="T531" i="1" s="1"/>
  <c r="S532" i="1"/>
  <c r="T532" i="1" s="1"/>
  <c r="S533" i="1"/>
  <c r="T533" i="1" s="1"/>
  <c r="S534" i="1"/>
  <c r="T534" i="1" s="1"/>
  <c r="S535" i="1"/>
  <c r="T535" i="1" s="1"/>
  <c r="S536" i="1"/>
  <c r="T536" i="1" s="1"/>
  <c r="S537" i="1"/>
  <c r="T537" i="1" s="1"/>
  <c r="S538" i="1"/>
  <c r="T538" i="1" s="1"/>
  <c r="S539" i="1"/>
  <c r="T539" i="1" s="1"/>
  <c r="S540" i="1"/>
  <c r="T540" i="1" s="1"/>
  <c r="S541" i="1"/>
  <c r="T541" i="1" s="1"/>
  <c r="S542" i="1"/>
  <c r="T542" i="1" s="1"/>
  <c r="S543" i="1"/>
  <c r="T543" i="1" s="1"/>
  <c r="S544" i="1"/>
  <c r="T544" i="1" s="1"/>
  <c r="S545" i="1"/>
  <c r="T545" i="1" s="1"/>
  <c r="S546" i="1"/>
  <c r="T546" i="1" s="1"/>
  <c r="S547" i="1"/>
  <c r="T547" i="1" s="1"/>
  <c r="S548" i="1"/>
  <c r="T548" i="1" s="1"/>
  <c r="S549" i="1"/>
  <c r="T549" i="1" s="1"/>
  <c r="S550" i="1"/>
  <c r="T550" i="1" s="1"/>
  <c r="S551" i="1"/>
  <c r="T551" i="1" s="1"/>
  <c r="S552" i="1"/>
  <c r="T552" i="1" s="1"/>
  <c r="S553" i="1"/>
  <c r="T553" i="1" s="1"/>
  <c r="S554" i="1"/>
  <c r="T554" i="1" s="1"/>
  <c r="S555" i="1"/>
  <c r="T555" i="1" s="1"/>
  <c r="S556" i="1"/>
  <c r="T556" i="1" s="1"/>
  <c r="S557" i="1"/>
  <c r="T557" i="1" s="1"/>
  <c r="S558" i="1"/>
  <c r="T558" i="1" s="1"/>
  <c r="S559" i="1"/>
  <c r="T559" i="1" s="1"/>
  <c r="S560" i="1"/>
  <c r="T560" i="1" s="1"/>
  <c r="S561" i="1"/>
  <c r="T561" i="1" s="1"/>
  <c r="S562" i="1"/>
  <c r="T562" i="1" s="1"/>
  <c r="S563" i="1"/>
  <c r="T563" i="1" s="1"/>
  <c r="S564" i="1"/>
  <c r="T564" i="1" s="1"/>
  <c r="S565" i="1"/>
  <c r="T565" i="1" s="1"/>
  <c r="S566" i="1"/>
  <c r="T566" i="1" s="1"/>
  <c r="S567" i="1"/>
  <c r="T567" i="1" s="1"/>
  <c r="S568" i="1"/>
  <c r="T568" i="1" s="1"/>
  <c r="S569" i="1"/>
  <c r="T569" i="1" s="1"/>
  <c r="S570" i="1"/>
  <c r="T570" i="1" s="1"/>
  <c r="S571" i="1"/>
  <c r="T571" i="1" s="1"/>
  <c r="S572" i="1"/>
  <c r="T572" i="1" s="1"/>
  <c r="S573" i="1"/>
  <c r="T573" i="1" s="1"/>
  <c r="S574" i="1"/>
  <c r="T574" i="1" s="1"/>
  <c r="S575" i="1"/>
  <c r="T575" i="1" s="1"/>
  <c r="S576" i="1"/>
  <c r="T576" i="1" s="1"/>
  <c r="S577" i="1"/>
  <c r="T577" i="1" s="1"/>
  <c r="S578" i="1"/>
  <c r="T578" i="1" s="1"/>
  <c r="S579" i="1"/>
  <c r="T579" i="1" s="1"/>
  <c r="S580" i="1"/>
  <c r="T580" i="1" s="1"/>
  <c r="S581" i="1"/>
  <c r="T581" i="1" s="1"/>
  <c r="S582" i="1"/>
  <c r="T582" i="1" s="1"/>
  <c r="S583" i="1"/>
  <c r="T583" i="1" s="1"/>
  <c r="S584" i="1"/>
  <c r="T584" i="1" s="1"/>
  <c r="S585" i="1"/>
  <c r="T585" i="1" s="1"/>
  <c r="S586" i="1"/>
  <c r="T586" i="1" s="1"/>
  <c r="S587" i="1"/>
  <c r="T587" i="1" s="1"/>
  <c r="S588" i="1"/>
  <c r="T588" i="1" s="1"/>
  <c r="S589" i="1"/>
  <c r="T589" i="1" s="1"/>
  <c r="S590" i="1"/>
  <c r="T590" i="1" s="1"/>
  <c r="S591" i="1"/>
  <c r="T591" i="1" s="1"/>
  <c r="S592" i="1"/>
  <c r="T592" i="1" s="1"/>
  <c r="S593" i="1"/>
  <c r="T593" i="1" s="1"/>
  <c r="S594" i="1"/>
  <c r="T594" i="1" s="1"/>
  <c r="S595" i="1"/>
  <c r="T595" i="1" s="1"/>
  <c r="S596" i="1"/>
  <c r="T596" i="1" s="1"/>
  <c r="S597" i="1"/>
  <c r="T597" i="1" s="1"/>
  <c r="S598" i="1"/>
  <c r="T598" i="1" s="1"/>
  <c r="S599" i="1"/>
  <c r="T599" i="1" s="1"/>
  <c r="S600" i="1"/>
  <c r="T600" i="1" s="1"/>
  <c r="S601" i="1"/>
  <c r="T601" i="1" s="1"/>
  <c r="S602" i="1"/>
  <c r="T602" i="1" s="1"/>
  <c r="S603" i="1"/>
  <c r="T603" i="1" s="1"/>
  <c r="S604" i="1"/>
  <c r="T604" i="1" s="1"/>
  <c r="S605" i="1"/>
  <c r="T605" i="1" s="1"/>
  <c r="S606" i="1"/>
  <c r="T606" i="1" s="1"/>
  <c r="S607" i="1"/>
  <c r="T607" i="1" s="1"/>
  <c r="S608" i="1"/>
  <c r="T608" i="1" s="1"/>
  <c r="S609" i="1"/>
  <c r="T609" i="1" s="1"/>
  <c r="S610" i="1"/>
  <c r="T610" i="1" s="1"/>
  <c r="S611" i="1"/>
  <c r="T611" i="1" s="1"/>
  <c r="S612" i="1"/>
  <c r="T612" i="1" s="1"/>
  <c r="S613" i="1"/>
  <c r="T613" i="1" s="1"/>
  <c r="S614" i="1"/>
  <c r="T614" i="1" s="1"/>
  <c r="S615" i="1"/>
  <c r="T615" i="1" s="1"/>
  <c r="S616" i="1"/>
  <c r="T616" i="1" s="1"/>
  <c r="S617" i="1"/>
  <c r="T617" i="1" s="1"/>
  <c r="S618" i="1"/>
  <c r="T618" i="1" s="1"/>
  <c r="S619" i="1"/>
  <c r="T619" i="1" s="1"/>
  <c r="S620" i="1"/>
  <c r="T620" i="1" s="1"/>
  <c r="S621" i="1"/>
  <c r="T621" i="1" s="1"/>
  <c r="S622" i="1"/>
  <c r="T622" i="1" s="1"/>
  <c r="S623" i="1"/>
  <c r="T623" i="1" s="1"/>
  <c r="S624" i="1"/>
  <c r="T624" i="1" s="1"/>
  <c r="S625" i="1"/>
  <c r="T625" i="1" s="1"/>
  <c r="S626" i="1"/>
  <c r="T626" i="1" s="1"/>
  <c r="S627" i="1"/>
  <c r="T627" i="1" s="1"/>
  <c r="S628" i="1"/>
  <c r="T628" i="1" s="1"/>
  <c r="S629" i="1"/>
  <c r="T629" i="1" s="1"/>
  <c r="S630" i="1"/>
  <c r="T630" i="1" s="1"/>
  <c r="S631" i="1"/>
  <c r="T631" i="1" s="1"/>
  <c r="S632" i="1"/>
  <c r="T632" i="1" s="1"/>
  <c r="S633" i="1"/>
  <c r="T633" i="1" s="1"/>
  <c r="S634" i="1"/>
  <c r="T634" i="1" s="1"/>
  <c r="S635" i="1"/>
  <c r="T635" i="1" s="1"/>
  <c r="S636" i="1"/>
  <c r="T636" i="1" s="1"/>
  <c r="S637" i="1"/>
  <c r="T637" i="1" s="1"/>
  <c r="S638" i="1"/>
  <c r="T638" i="1" s="1"/>
  <c r="S639" i="1"/>
  <c r="T639" i="1" s="1"/>
  <c r="S640" i="1"/>
  <c r="T640" i="1" s="1"/>
  <c r="S641" i="1"/>
  <c r="T641" i="1" s="1"/>
  <c r="S642" i="1"/>
  <c r="T642" i="1" s="1"/>
  <c r="S643" i="1"/>
  <c r="T643" i="1" s="1"/>
  <c r="S644" i="1"/>
  <c r="T644" i="1" s="1"/>
  <c r="S645" i="1"/>
  <c r="T645" i="1" s="1"/>
  <c r="S646" i="1"/>
  <c r="T646" i="1" s="1"/>
  <c r="S647" i="1"/>
  <c r="T647" i="1" s="1"/>
  <c r="S648" i="1"/>
  <c r="T648" i="1" s="1"/>
  <c r="S649" i="1"/>
  <c r="T649" i="1" s="1"/>
  <c r="S650" i="1"/>
  <c r="T650" i="1" s="1"/>
  <c r="S651" i="1"/>
  <c r="T651" i="1" s="1"/>
  <c r="S652" i="1"/>
  <c r="T652" i="1" s="1"/>
  <c r="S653" i="1"/>
  <c r="T653" i="1" s="1"/>
  <c r="S654" i="1"/>
  <c r="T654" i="1" s="1"/>
  <c r="S655" i="1"/>
  <c r="T655" i="1" s="1"/>
  <c r="S656" i="1"/>
  <c r="T656" i="1" s="1"/>
  <c r="S657" i="1"/>
  <c r="T657" i="1" s="1"/>
  <c r="S658" i="1"/>
  <c r="T658" i="1" s="1"/>
  <c r="S659" i="1"/>
  <c r="T659" i="1" s="1"/>
  <c r="S660" i="1"/>
  <c r="T660" i="1" s="1"/>
  <c r="S661" i="1"/>
  <c r="T661" i="1" s="1"/>
  <c r="S662" i="1"/>
  <c r="T662" i="1" s="1"/>
  <c r="S663" i="1"/>
  <c r="T663" i="1" s="1"/>
  <c r="S664" i="1"/>
  <c r="T664" i="1" s="1"/>
  <c r="S665" i="1"/>
  <c r="T665" i="1" s="1"/>
  <c r="S666" i="1"/>
  <c r="T666" i="1" s="1"/>
  <c r="S667" i="1"/>
  <c r="T667" i="1" s="1"/>
  <c r="S668" i="1"/>
  <c r="T668" i="1" s="1"/>
  <c r="S669" i="1"/>
  <c r="T669" i="1" s="1"/>
  <c r="S670" i="1"/>
  <c r="T670" i="1" s="1"/>
  <c r="S671" i="1"/>
  <c r="T671" i="1" s="1"/>
  <c r="S672" i="1"/>
  <c r="T672" i="1" s="1"/>
  <c r="S673" i="1"/>
  <c r="T673" i="1" s="1"/>
  <c r="S674" i="1"/>
  <c r="T674" i="1" s="1"/>
  <c r="S675" i="1"/>
  <c r="T675" i="1" s="1"/>
  <c r="S676" i="1"/>
  <c r="T676" i="1" s="1"/>
  <c r="S677" i="1"/>
  <c r="T677" i="1" s="1"/>
  <c r="S678" i="1"/>
  <c r="T678" i="1" s="1"/>
  <c r="S679" i="1"/>
  <c r="T679" i="1" s="1"/>
  <c r="S680" i="1"/>
  <c r="T680" i="1" s="1"/>
  <c r="S681" i="1"/>
  <c r="T681" i="1" s="1"/>
  <c r="S682" i="1"/>
  <c r="T682" i="1" s="1"/>
  <c r="S683" i="1"/>
  <c r="T683" i="1" s="1"/>
  <c r="S684" i="1"/>
  <c r="T684" i="1" s="1"/>
  <c r="S685" i="1"/>
  <c r="T685" i="1" s="1"/>
  <c r="S686" i="1"/>
  <c r="T686" i="1" s="1"/>
  <c r="S687" i="1"/>
  <c r="T687" i="1" s="1"/>
  <c r="S688" i="1"/>
  <c r="T688" i="1" s="1"/>
  <c r="S689" i="1"/>
  <c r="T689" i="1" s="1"/>
  <c r="S690" i="1"/>
  <c r="T690" i="1" s="1"/>
  <c r="S691" i="1"/>
  <c r="T691" i="1" s="1"/>
  <c r="S692" i="1"/>
  <c r="T692" i="1" s="1"/>
  <c r="S693" i="1"/>
  <c r="T693" i="1" s="1"/>
  <c r="S694" i="1"/>
  <c r="T694" i="1" s="1"/>
  <c r="S695" i="1"/>
  <c r="T695" i="1" s="1"/>
  <c r="S696" i="1"/>
  <c r="T696" i="1" s="1"/>
  <c r="S697" i="1"/>
  <c r="T697" i="1" s="1"/>
  <c r="S698" i="1"/>
  <c r="T698" i="1" s="1"/>
  <c r="S699" i="1"/>
  <c r="T699" i="1" s="1"/>
  <c r="S700" i="1"/>
  <c r="T700" i="1" s="1"/>
  <c r="S701" i="1"/>
  <c r="T701" i="1" s="1"/>
  <c r="S702" i="1"/>
  <c r="T702" i="1" s="1"/>
  <c r="S703" i="1"/>
  <c r="T703" i="1" s="1"/>
  <c r="S704" i="1"/>
  <c r="T704" i="1" s="1"/>
  <c r="S705" i="1"/>
  <c r="T705" i="1" s="1"/>
  <c r="S706" i="1"/>
  <c r="T706" i="1" s="1"/>
  <c r="S707" i="1"/>
  <c r="T707" i="1" s="1"/>
  <c r="S708" i="1"/>
  <c r="T708" i="1" s="1"/>
  <c r="S709" i="1"/>
  <c r="T709" i="1" s="1"/>
  <c r="S710" i="1"/>
  <c r="T710" i="1" s="1"/>
  <c r="S711" i="1"/>
  <c r="T711" i="1" s="1"/>
  <c r="S712" i="1"/>
  <c r="T712" i="1" s="1"/>
  <c r="S713" i="1"/>
  <c r="T713" i="1" s="1"/>
  <c r="S714" i="1"/>
  <c r="T714" i="1" s="1"/>
  <c r="S715" i="1"/>
  <c r="T715" i="1" s="1"/>
  <c r="S716" i="1"/>
  <c r="T716" i="1" s="1"/>
  <c r="S717" i="1"/>
  <c r="T717" i="1" s="1"/>
  <c r="S718" i="1"/>
  <c r="T718" i="1" s="1"/>
  <c r="S719" i="1"/>
  <c r="T719" i="1" s="1"/>
  <c r="S720" i="1"/>
  <c r="T720" i="1" s="1"/>
  <c r="S721" i="1"/>
  <c r="T721" i="1" s="1"/>
  <c r="S722" i="1"/>
  <c r="T722" i="1" s="1"/>
  <c r="S723" i="1"/>
  <c r="T723" i="1" s="1"/>
  <c r="S724" i="1"/>
  <c r="T724" i="1" s="1"/>
  <c r="S725" i="1"/>
  <c r="T725" i="1" s="1"/>
  <c r="S726" i="1"/>
  <c r="T726" i="1" s="1"/>
  <c r="S727" i="1"/>
  <c r="T727" i="1" s="1"/>
  <c r="S728" i="1"/>
  <c r="T728" i="1" s="1"/>
  <c r="S729" i="1"/>
  <c r="T729" i="1" s="1"/>
  <c r="S730" i="1"/>
  <c r="T730" i="1" s="1"/>
  <c r="S731" i="1"/>
  <c r="T731" i="1" s="1"/>
  <c r="S732" i="1"/>
  <c r="T732" i="1" s="1"/>
  <c r="S733" i="1"/>
  <c r="T733" i="1" s="1"/>
  <c r="S734" i="1"/>
  <c r="T734" i="1" s="1"/>
  <c r="S735" i="1"/>
  <c r="T735" i="1" s="1"/>
  <c r="S736" i="1"/>
  <c r="T736" i="1" s="1"/>
  <c r="S737" i="1"/>
  <c r="T737" i="1" s="1"/>
  <c r="S738" i="1"/>
  <c r="T738" i="1" s="1"/>
  <c r="S739" i="1"/>
  <c r="T739" i="1" s="1"/>
  <c r="S740" i="1"/>
  <c r="T740" i="1" s="1"/>
  <c r="S741" i="1"/>
  <c r="T741" i="1" s="1"/>
  <c r="S742" i="1"/>
  <c r="T742" i="1" s="1"/>
  <c r="S743" i="1"/>
  <c r="T743" i="1" s="1"/>
  <c r="S744" i="1"/>
  <c r="T744" i="1" s="1"/>
  <c r="S745" i="1"/>
  <c r="T745" i="1" s="1"/>
  <c r="S746" i="1"/>
  <c r="T746" i="1" s="1"/>
  <c r="S747" i="1"/>
  <c r="T747" i="1" s="1"/>
  <c r="S748" i="1"/>
  <c r="T748" i="1" s="1"/>
  <c r="S749" i="1"/>
  <c r="T749" i="1" s="1"/>
  <c r="S750" i="1"/>
  <c r="T750" i="1" s="1"/>
  <c r="S751" i="1"/>
  <c r="T751" i="1" s="1"/>
  <c r="S752" i="1"/>
  <c r="T752" i="1" s="1"/>
  <c r="S753" i="1"/>
  <c r="T753" i="1" s="1"/>
  <c r="S754" i="1"/>
  <c r="T754" i="1" s="1"/>
  <c r="S755" i="1"/>
  <c r="T755" i="1" s="1"/>
  <c r="S756" i="1"/>
  <c r="T756" i="1" s="1"/>
  <c r="S757" i="1"/>
  <c r="T757" i="1" s="1"/>
  <c r="S758" i="1"/>
  <c r="T758" i="1" s="1"/>
  <c r="S759" i="1"/>
  <c r="T759" i="1" s="1"/>
  <c r="S760" i="1"/>
  <c r="T760" i="1" s="1"/>
  <c r="S761" i="1"/>
  <c r="T761" i="1" s="1"/>
  <c r="S762" i="1"/>
  <c r="T762" i="1" s="1"/>
  <c r="S763" i="1"/>
  <c r="T763" i="1" s="1"/>
  <c r="S764" i="1"/>
  <c r="T764" i="1" s="1"/>
  <c r="S765" i="1"/>
  <c r="T765" i="1" s="1"/>
  <c r="S766" i="1"/>
  <c r="T766" i="1" s="1"/>
  <c r="S767" i="1"/>
  <c r="T767" i="1" s="1"/>
  <c r="S768" i="1"/>
  <c r="T768" i="1" s="1"/>
  <c r="S769" i="1"/>
  <c r="T769" i="1" s="1"/>
  <c r="S770" i="1"/>
  <c r="T770" i="1" s="1"/>
  <c r="S771" i="1"/>
  <c r="T771" i="1" s="1"/>
  <c r="S772" i="1"/>
  <c r="T772" i="1" s="1"/>
  <c r="S773" i="1"/>
  <c r="T773" i="1" s="1"/>
  <c r="S774" i="1"/>
  <c r="T774" i="1" s="1"/>
  <c r="S775" i="1"/>
  <c r="T775" i="1" s="1"/>
  <c r="S776" i="1"/>
  <c r="T776" i="1" s="1"/>
  <c r="S777" i="1"/>
  <c r="T777" i="1" s="1"/>
  <c r="S778" i="1"/>
  <c r="T778" i="1" s="1"/>
  <c r="S779" i="1"/>
  <c r="T779" i="1" s="1"/>
  <c r="S780" i="1"/>
  <c r="T780" i="1" s="1"/>
  <c r="S781" i="1"/>
  <c r="T781" i="1" s="1"/>
  <c r="S2" i="1"/>
  <c r="T2" i="1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Q14" i="1" s="1"/>
  <c r="O15" i="1"/>
  <c r="O16" i="1"/>
  <c r="O17" i="1"/>
  <c r="O18" i="1"/>
  <c r="O19" i="1"/>
  <c r="O20" i="1"/>
  <c r="Q20" i="1" s="1"/>
  <c r="O21" i="1"/>
  <c r="O22" i="1"/>
  <c r="O23" i="1"/>
  <c r="Q23" i="1" s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Q38" i="1" s="1"/>
  <c r="O39" i="1"/>
  <c r="O40" i="1"/>
  <c r="O41" i="1"/>
  <c r="O42" i="1"/>
  <c r="O43" i="1"/>
  <c r="Q43" i="1" s="1"/>
  <c r="O44" i="1"/>
  <c r="Q44" i="1" s="1"/>
  <c r="O45" i="1"/>
  <c r="O46" i="1"/>
  <c r="O47" i="1"/>
  <c r="Q47" i="1" s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Q62" i="1" s="1"/>
  <c r="O63" i="1"/>
  <c r="O64" i="1"/>
  <c r="O65" i="1"/>
  <c r="O66" i="1"/>
  <c r="O67" i="1"/>
  <c r="Q67" i="1" s="1"/>
  <c r="O68" i="1"/>
  <c r="Q68" i="1" s="1"/>
  <c r="O69" i="1"/>
  <c r="O70" i="1"/>
  <c r="O71" i="1"/>
  <c r="Q71" i="1" s="1"/>
  <c r="O72" i="1"/>
  <c r="O73" i="1"/>
  <c r="Q73" i="1" s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Q86" i="1" s="1"/>
  <c r="O87" i="1"/>
  <c r="O88" i="1"/>
  <c r="O89" i="1"/>
  <c r="O90" i="1"/>
  <c r="O91" i="1"/>
  <c r="Q91" i="1" s="1"/>
  <c r="O92" i="1"/>
  <c r="Q92" i="1" s="1"/>
  <c r="O93" i="1"/>
  <c r="O94" i="1"/>
  <c r="Q94" i="1" s="1"/>
  <c r="O95" i="1"/>
  <c r="Q95" i="1" s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Q110" i="1" s="1"/>
  <c r="O111" i="1"/>
  <c r="O112" i="1"/>
  <c r="O113" i="1"/>
  <c r="O114" i="1"/>
  <c r="O115" i="1"/>
  <c r="Q115" i="1" s="1"/>
  <c r="O116" i="1"/>
  <c r="Q116" i="1" s="1"/>
  <c r="O117" i="1"/>
  <c r="O118" i="1"/>
  <c r="O119" i="1"/>
  <c r="Q119" i="1" s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Q134" i="1" s="1"/>
  <c r="O135" i="1"/>
  <c r="O136" i="1"/>
  <c r="O137" i="1"/>
  <c r="O138" i="1"/>
  <c r="O139" i="1"/>
  <c r="Q139" i="1" s="1"/>
  <c r="O140" i="1"/>
  <c r="Q140" i="1" s="1"/>
  <c r="O141" i="1"/>
  <c r="O142" i="1"/>
  <c r="O143" i="1"/>
  <c r="Q143" i="1" s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Q158" i="1" s="1"/>
  <c r="O159" i="1"/>
  <c r="O160" i="1"/>
  <c r="O161" i="1"/>
  <c r="O162" i="1"/>
  <c r="O163" i="1"/>
  <c r="Q163" i="1" s="1"/>
  <c r="O164" i="1"/>
  <c r="Q164" i="1" s="1"/>
  <c r="O165" i="1"/>
  <c r="O166" i="1"/>
  <c r="Q166" i="1" s="1"/>
  <c r="O167" i="1"/>
  <c r="Q167" i="1" s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Q182" i="1" s="1"/>
  <c r="O183" i="1"/>
  <c r="O184" i="1"/>
  <c r="O185" i="1"/>
  <c r="O186" i="1"/>
  <c r="O187" i="1"/>
  <c r="Q187" i="1" s="1"/>
  <c r="O188" i="1"/>
  <c r="Q188" i="1" s="1"/>
  <c r="O189" i="1"/>
  <c r="O190" i="1"/>
  <c r="O191" i="1"/>
  <c r="Q191" i="1" s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Q206" i="1" s="1"/>
  <c r="O207" i="1"/>
  <c r="O208" i="1"/>
  <c r="O209" i="1"/>
  <c r="O210" i="1"/>
  <c r="O211" i="1"/>
  <c r="Q211" i="1" s="1"/>
  <c r="O212" i="1"/>
  <c r="Q212" i="1" s="1"/>
  <c r="O213" i="1"/>
  <c r="O214" i="1"/>
  <c r="O215" i="1"/>
  <c r="Q215" i="1" s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Q230" i="1" s="1"/>
  <c r="O231" i="1"/>
  <c r="O232" i="1"/>
  <c r="O233" i="1"/>
  <c r="O234" i="1"/>
  <c r="O235" i="1"/>
  <c r="Q235" i="1" s="1"/>
  <c r="O236" i="1"/>
  <c r="Q236" i="1" s="1"/>
  <c r="O237" i="1"/>
  <c r="O238" i="1"/>
  <c r="O239" i="1"/>
  <c r="Q239" i="1" s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Q254" i="1" s="1"/>
  <c r="O255" i="1"/>
  <c r="O256" i="1"/>
  <c r="O257" i="1"/>
  <c r="O258" i="1"/>
  <c r="O259" i="1"/>
  <c r="Q259" i="1" s="1"/>
  <c r="O260" i="1"/>
  <c r="Q260" i="1" s="1"/>
  <c r="O261" i="1"/>
  <c r="O262" i="1"/>
  <c r="O263" i="1"/>
  <c r="Q263" i="1" s="1"/>
  <c r="O264" i="1"/>
  <c r="Q264" i="1" s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Q278" i="1" s="1"/>
  <c r="O279" i="1"/>
  <c r="O280" i="1"/>
  <c r="O281" i="1"/>
  <c r="O282" i="1"/>
  <c r="O283" i="1"/>
  <c r="Q283" i="1" s="1"/>
  <c r="O284" i="1"/>
  <c r="Q284" i="1" s="1"/>
  <c r="O285" i="1"/>
  <c r="O286" i="1"/>
  <c r="O287" i="1"/>
  <c r="Q287" i="1" s="1"/>
  <c r="O288" i="1"/>
  <c r="Q288" i="1" s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Q302" i="1" s="1"/>
  <c r="O303" i="1"/>
  <c r="O304" i="1"/>
  <c r="O305" i="1"/>
  <c r="O306" i="1"/>
  <c r="O307" i="1"/>
  <c r="Q307" i="1" s="1"/>
  <c r="O308" i="1"/>
  <c r="Q308" i="1" s="1"/>
  <c r="O309" i="1"/>
  <c r="O310" i="1"/>
  <c r="O311" i="1"/>
  <c r="Q311" i="1" s="1"/>
  <c r="O312" i="1"/>
  <c r="Q312" i="1" s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Q326" i="1" s="1"/>
  <c r="O327" i="1"/>
  <c r="O328" i="1"/>
  <c r="O329" i="1"/>
  <c r="O330" i="1"/>
  <c r="O331" i="1"/>
  <c r="Q331" i="1" s="1"/>
  <c r="O332" i="1"/>
  <c r="Q332" i="1" s="1"/>
  <c r="O333" i="1"/>
  <c r="O334" i="1"/>
  <c r="O335" i="1"/>
  <c r="Q335" i="1" s="1"/>
  <c r="O336" i="1"/>
  <c r="Q336" i="1" s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Q350" i="1" s="1"/>
  <c r="O351" i="1"/>
  <c r="O352" i="1"/>
  <c r="O353" i="1"/>
  <c r="O354" i="1"/>
  <c r="O355" i="1"/>
  <c r="Q355" i="1" s="1"/>
  <c r="O356" i="1"/>
  <c r="Q356" i="1" s="1"/>
  <c r="O357" i="1"/>
  <c r="O358" i="1"/>
  <c r="O359" i="1"/>
  <c r="Q359" i="1" s="1"/>
  <c r="O360" i="1"/>
  <c r="Q360" i="1" s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Q374" i="1" s="1"/>
  <c r="O375" i="1"/>
  <c r="O376" i="1"/>
  <c r="O377" i="1"/>
  <c r="O378" i="1"/>
  <c r="O379" i="1"/>
  <c r="Q379" i="1" s="1"/>
  <c r="O380" i="1"/>
  <c r="Q380" i="1" s="1"/>
  <c r="O381" i="1"/>
  <c r="O382" i="1"/>
  <c r="O383" i="1"/>
  <c r="Q383" i="1" s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Q398" i="1" s="1"/>
  <c r="O399" i="1"/>
  <c r="O400" i="1"/>
  <c r="O401" i="1"/>
  <c r="O402" i="1"/>
  <c r="O403" i="1"/>
  <c r="Q403" i="1" s="1"/>
  <c r="O404" i="1"/>
  <c r="Q404" i="1" s="1"/>
  <c r="O405" i="1"/>
  <c r="O406" i="1"/>
  <c r="O407" i="1"/>
  <c r="Q407" i="1" s="1"/>
  <c r="O408" i="1"/>
  <c r="Q408" i="1" s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Q422" i="1" s="1"/>
  <c r="O423" i="1"/>
  <c r="O424" i="1"/>
  <c r="O425" i="1"/>
  <c r="O426" i="1"/>
  <c r="O427" i="1"/>
  <c r="Q427" i="1" s="1"/>
  <c r="O428" i="1"/>
  <c r="Q428" i="1" s="1"/>
  <c r="O429" i="1"/>
  <c r="O430" i="1"/>
  <c r="O431" i="1"/>
  <c r="Q431" i="1" s="1"/>
  <c r="O432" i="1"/>
  <c r="Q432" i="1" s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Q446" i="1" s="1"/>
  <c r="O447" i="1"/>
  <c r="O448" i="1"/>
  <c r="O449" i="1"/>
  <c r="O450" i="1"/>
  <c r="O451" i="1"/>
  <c r="Q451" i="1" s="1"/>
  <c r="O452" i="1"/>
  <c r="Q452" i="1" s="1"/>
  <c r="O453" i="1"/>
  <c r="O454" i="1"/>
  <c r="O455" i="1"/>
  <c r="Q455" i="1" s="1"/>
  <c r="O456" i="1"/>
  <c r="Q456" i="1" s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Q470" i="1" s="1"/>
  <c r="O471" i="1"/>
  <c r="O472" i="1"/>
  <c r="O473" i="1"/>
  <c r="O474" i="1"/>
  <c r="O475" i="1"/>
  <c r="Q475" i="1" s="1"/>
  <c r="O476" i="1"/>
  <c r="Q476" i="1" s="1"/>
  <c r="O477" i="1"/>
  <c r="O478" i="1"/>
  <c r="O479" i="1"/>
  <c r="Q479" i="1" s="1"/>
  <c r="O480" i="1"/>
  <c r="Q480" i="1" s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Q494" i="1" s="1"/>
  <c r="O495" i="1"/>
  <c r="O496" i="1"/>
  <c r="O497" i="1"/>
  <c r="O498" i="1"/>
  <c r="O499" i="1"/>
  <c r="Q499" i="1" s="1"/>
  <c r="O500" i="1"/>
  <c r="Q500" i="1" s="1"/>
  <c r="O501" i="1"/>
  <c r="O502" i="1"/>
  <c r="O503" i="1"/>
  <c r="Q503" i="1" s="1"/>
  <c r="O504" i="1"/>
  <c r="Q504" i="1" s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Q518" i="1" s="1"/>
  <c r="O519" i="1"/>
  <c r="O520" i="1"/>
  <c r="O521" i="1"/>
  <c r="O522" i="1"/>
  <c r="O523" i="1"/>
  <c r="Q523" i="1" s="1"/>
  <c r="O524" i="1"/>
  <c r="Q524" i="1" s="1"/>
  <c r="O525" i="1"/>
  <c r="O526" i="1"/>
  <c r="O527" i="1"/>
  <c r="Q527" i="1" s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Q542" i="1" s="1"/>
  <c r="O543" i="1"/>
  <c r="O544" i="1"/>
  <c r="O545" i="1"/>
  <c r="O546" i="1"/>
  <c r="O547" i="1"/>
  <c r="Q547" i="1" s="1"/>
  <c r="O548" i="1"/>
  <c r="Q548" i="1" s="1"/>
  <c r="O549" i="1"/>
  <c r="O550" i="1"/>
  <c r="O551" i="1"/>
  <c r="Q551" i="1" s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Q566" i="1" s="1"/>
  <c r="O567" i="1"/>
  <c r="O568" i="1"/>
  <c r="O569" i="1"/>
  <c r="O570" i="1"/>
  <c r="O571" i="1"/>
  <c r="Q571" i="1" s="1"/>
  <c r="O572" i="1"/>
  <c r="Q572" i="1" s="1"/>
  <c r="O573" i="1"/>
  <c r="O574" i="1"/>
  <c r="O575" i="1"/>
  <c r="Q575" i="1" s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Q595" i="1" s="1"/>
  <c r="O596" i="1"/>
  <c r="Q596" i="1" s="1"/>
  <c r="O597" i="1"/>
  <c r="O598" i="1"/>
  <c r="O599" i="1"/>
  <c r="Q599" i="1" s="1"/>
  <c r="O600" i="1"/>
  <c r="Q600" i="1" s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Q619" i="1" s="1"/>
  <c r="O620" i="1"/>
  <c r="Q620" i="1" s="1"/>
  <c r="O621" i="1"/>
  <c r="O622" i="1"/>
  <c r="O623" i="1"/>
  <c r="Q623" i="1" s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Q643" i="1" s="1"/>
  <c r="O644" i="1"/>
  <c r="Q644" i="1" s="1"/>
  <c r="O645" i="1"/>
  <c r="O646" i="1"/>
  <c r="O647" i="1"/>
  <c r="Q647" i="1" s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Q667" i="1" s="1"/>
  <c r="O668" i="1"/>
  <c r="Q668" i="1" s="1"/>
  <c r="O669" i="1"/>
  <c r="O670" i="1"/>
  <c r="O671" i="1"/>
  <c r="Q671" i="1" s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Q691" i="1" s="1"/>
  <c r="O692" i="1"/>
  <c r="Q692" i="1" s="1"/>
  <c r="O693" i="1"/>
  <c r="O694" i="1"/>
  <c r="O695" i="1"/>
  <c r="Q695" i="1" s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Q715" i="1" s="1"/>
  <c r="O716" i="1"/>
  <c r="Q716" i="1" s="1"/>
  <c r="O717" i="1"/>
  <c r="O718" i="1"/>
  <c r="O719" i="1"/>
  <c r="Q719" i="1" s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Q739" i="1" s="1"/>
  <c r="O740" i="1"/>
  <c r="Q740" i="1" s="1"/>
  <c r="O741" i="1"/>
  <c r="O742" i="1"/>
  <c r="O743" i="1"/>
  <c r="Q743" i="1" s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Q762" i="1" s="1"/>
  <c r="O763" i="1"/>
  <c r="Q763" i="1" s="1"/>
  <c r="O764" i="1"/>
  <c r="Q764" i="1" s="1"/>
  <c r="O765" i="1"/>
  <c r="O766" i="1"/>
  <c r="O767" i="1"/>
  <c r="Q767" i="1" s="1"/>
  <c r="O768" i="1"/>
  <c r="O769" i="1"/>
  <c r="Q769" i="1" s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2" i="1"/>
  <c r="N39" i="1"/>
  <c r="N65" i="1"/>
  <c r="N101" i="1"/>
  <c r="N134" i="1"/>
  <c r="N168" i="1"/>
  <c r="N204" i="1"/>
  <c r="N234" i="1"/>
  <c r="N264" i="1"/>
  <c r="N291" i="1"/>
  <c r="N326" i="1"/>
  <c r="N356" i="1"/>
  <c r="N385" i="1"/>
  <c r="N408" i="1"/>
  <c r="N432" i="1"/>
  <c r="N476" i="1"/>
  <c r="N501" i="1"/>
  <c r="N535" i="1"/>
  <c r="N558" i="1"/>
  <c r="N588" i="1"/>
  <c r="N602" i="1"/>
  <c r="N655" i="1"/>
  <c r="N684" i="1"/>
  <c r="N711" i="1"/>
  <c r="N735" i="1"/>
  <c r="N761" i="1"/>
  <c r="N5" i="1"/>
  <c r="N37" i="1"/>
  <c r="N68" i="1"/>
  <c r="N94" i="1"/>
  <c r="N129" i="1"/>
  <c r="N161" i="1"/>
  <c r="N190" i="1"/>
  <c r="N227" i="1"/>
  <c r="N251" i="1"/>
  <c r="N282" i="1"/>
  <c r="N316" i="1"/>
  <c r="N346" i="1"/>
  <c r="N377" i="1"/>
  <c r="N409" i="1"/>
  <c r="N435" i="1"/>
  <c r="N473" i="1"/>
  <c r="N504" i="1"/>
  <c r="N526" i="1"/>
  <c r="N562" i="1"/>
  <c r="N593" i="1"/>
  <c r="N603" i="1"/>
  <c r="N656" i="1"/>
  <c r="N669" i="1"/>
  <c r="N700" i="1"/>
  <c r="N726" i="1"/>
  <c r="N760" i="1"/>
  <c r="N4" i="1"/>
  <c r="N43" i="1"/>
  <c r="N77" i="1"/>
  <c r="N104" i="1"/>
  <c r="N141" i="1"/>
  <c r="N165" i="1"/>
  <c r="N196" i="1"/>
  <c r="N225" i="1"/>
  <c r="N263" i="1"/>
  <c r="N294" i="1"/>
  <c r="N318" i="1"/>
  <c r="N349" i="1"/>
  <c r="N380" i="1"/>
  <c r="N406" i="1"/>
  <c r="N436" i="1"/>
  <c r="N465" i="1"/>
  <c r="N488" i="1"/>
  <c r="N522" i="1"/>
  <c r="N555" i="1"/>
  <c r="N598" i="1"/>
  <c r="N604" i="1"/>
  <c r="N657" i="1"/>
  <c r="N691" i="1"/>
  <c r="N720" i="1"/>
  <c r="N744" i="1"/>
  <c r="N766" i="1"/>
  <c r="N6" i="1"/>
  <c r="N33" i="1"/>
  <c r="N63" i="1"/>
  <c r="N97" i="1"/>
  <c r="N123" i="1"/>
  <c r="N153" i="1"/>
  <c r="N183" i="1"/>
  <c r="N213" i="1"/>
  <c r="N245" i="1"/>
  <c r="N275" i="1"/>
  <c r="N303" i="1"/>
  <c r="N334" i="1"/>
  <c r="N364" i="1"/>
  <c r="N395" i="1"/>
  <c r="N425" i="1"/>
  <c r="N454" i="1"/>
  <c r="N484" i="1"/>
  <c r="N517" i="1"/>
  <c r="N542" i="1"/>
  <c r="N572" i="1"/>
  <c r="N617" i="1"/>
  <c r="N637" i="1"/>
  <c r="N667" i="1"/>
  <c r="N703" i="1"/>
  <c r="N733" i="1"/>
  <c r="N762" i="1"/>
  <c r="N14" i="1"/>
  <c r="N45" i="1"/>
  <c r="N73" i="1"/>
  <c r="N102" i="1"/>
  <c r="N127" i="1"/>
  <c r="N160" i="1"/>
  <c r="N188" i="1"/>
  <c r="N216" i="1"/>
  <c r="N249" i="1"/>
  <c r="N274" i="1"/>
  <c r="N304" i="1"/>
  <c r="N337" i="1"/>
  <c r="N376" i="1"/>
  <c r="N405" i="1"/>
  <c r="N444" i="1"/>
  <c r="N464" i="1"/>
  <c r="N496" i="1"/>
  <c r="N519" i="1"/>
  <c r="N545" i="1"/>
  <c r="N573" i="1"/>
  <c r="N609" i="1"/>
  <c r="N642" i="1"/>
  <c r="N675" i="1"/>
  <c r="N705" i="1"/>
  <c r="N730" i="1"/>
  <c r="N763" i="1"/>
  <c r="N27" i="1"/>
  <c r="N47" i="1"/>
  <c r="N79" i="1"/>
  <c r="N112" i="1"/>
  <c r="N135" i="1"/>
  <c r="N164" i="1"/>
  <c r="N185" i="1"/>
  <c r="N221" i="1"/>
  <c r="N246" i="1"/>
  <c r="N283" i="1"/>
  <c r="N308" i="1"/>
  <c r="N336" i="1"/>
  <c r="N372" i="1"/>
  <c r="N400" i="1"/>
  <c r="N441" i="1"/>
  <c r="N466" i="1"/>
  <c r="N497" i="1"/>
  <c r="N531" i="1"/>
  <c r="N570" i="1"/>
  <c r="N597" i="1"/>
  <c r="N623" i="1"/>
  <c r="N645" i="1"/>
  <c r="N668" i="1"/>
  <c r="N704" i="1"/>
  <c r="N740" i="1"/>
  <c r="N778" i="1"/>
  <c r="N23" i="1"/>
  <c r="N53" i="1"/>
  <c r="N84" i="1"/>
  <c r="N108" i="1"/>
  <c r="N146" i="1"/>
  <c r="N169" i="1"/>
  <c r="N203" i="1"/>
  <c r="N230" i="1"/>
  <c r="N259" i="1"/>
  <c r="N290" i="1"/>
  <c r="N320" i="1"/>
  <c r="N350" i="1"/>
  <c r="N378" i="1"/>
  <c r="N404" i="1"/>
  <c r="N433" i="1"/>
  <c r="N467" i="1"/>
  <c r="N502" i="1"/>
  <c r="N537" i="1"/>
  <c r="N563" i="1"/>
  <c r="N586" i="1"/>
  <c r="N618" i="1"/>
  <c r="N647" i="1"/>
  <c r="N682" i="1"/>
  <c r="N717" i="1"/>
  <c r="N746" i="1"/>
  <c r="N773" i="1"/>
  <c r="N9" i="1"/>
  <c r="N36" i="1"/>
  <c r="N70" i="1"/>
  <c r="N115" i="1"/>
  <c r="N148" i="1"/>
  <c r="N177" i="1"/>
  <c r="N206" i="1"/>
  <c r="N233" i="1"/>
  <c r="N257" i="1"/>
  <c r="N285" i="1"/>
  <c r="N325" i="1"/>
  <c r="N357" i="1"/>
  <c r="N382" i="1"/>
  <c r="N412" i="1"/>
  <c r="N447" i="1"/>
  <c r="N477" i="1"/>
  <c r="N505" i="1"/>
  <c r="N529" i="1"/>
  <c r="N557" i="1"/>
  <c r="N590" i="1"/>
  <c r="N629" i="1"/>
  <c r="N660" i="1"/>
  <c r="N688" i="1"/>
  <c r="N716" i="1"/>
  <c r="N748" i="1"/>
  <c r="N776" i="1"/>
  <c r="N12" i="1"/>
  <c r="N44" i="1"/>
  <c r="N80" i="1"/>
  <c r="N107" i="1"/>
  <c r="N136" i="1"/>
  <c r="N175" i="1"/>
  <c r="N209" i="1"/>
  <c r="N237" i="1"/>
  <c r="N261" i="1"/>
  <c r="N289" i="1"/>
  <c r="N317" i="1"/>
  <c r="N345" i="1"/>
  <c r="N383" i="1"/>
  <c r="N415" i="1"/>
  <c r="N438" i="1"/>
  <c r="N474" i="1"/>
  <c r="N500" i="1"/>
  <c r="N532" i="1"/>
  <c r="N556" i="1"/>
  <c r="N583" i="1"/>
  <c r="N619" i="1"/>
  <c r="N648" i="1"/>
  <c r="N676" i="1"/>
  <c r="N706" i="1"/>
  <c r="N737" i="1"/>
  <c r="N772" i="1"/>
  <c r="N15" i="1"/>
  <c r="N51" i="1"/>
  <c r="N81" i="1"/>
  <c r="N114" i="1"/>
  <c r="N144" i="1"/>
  <c r="N166" i="1"/>
  <c r="N195" i="1"/>
  <c r="N223" i="1"/>
  <c r="N244" i="1"/>
  <c r="N276" i="1"/>
  <c r="N307" i="1"/>
  <c r="N341" i="1"/>
  <c r="N366" i="1"/>
  <c r="N396" i="1"/>
  <c r="N426" i="1"/>
  <c r="N456" i="1"/>
  <c r="N485" i="1"/>
  <c r="N513" i="1"/>
  <c r="N561" i="1"/>
  <c r="N592" i="1"/>
  <c r="N625" i="1"/>
  <c r="N654" i="1"/>
  <c r="N679" i="1"/>
  <c r="N710" i="1"/>
  <c r="N743" i="1"/>
  <c r="N769" i="1"/>
  <c r="N30" i="1"/>
  <c r="N58" i="1"/>
  <c r="N86" i="1"/>
  <c r="N117" i="1"/>
  <c r="N147" i="1"/>
  <c r="N163" i="1"/>
  <c r="N189" i="1"/>
  <c r="N224" i="1"/>
  <c r="N255" i="1"/>
  <c r="N279" i="1"/>
  <c r="N315" i="1"/>
  <c r="N351" i="1"/>
  <c r="N389" i="1"/>
  <c r="N421" i="1"/>
  <c r="N451" i="1"/>
  <c r="N480" i="1"/>
  <c r="N509" i="1"/>
  <c r="N528" i="1"/>
  <c r="N552" i="1"/>
  <c r="N580" i="1"/>
  <c r="N608" i="1"/>
  <c r="N638" i="1"/>
  <c r="N672" i="1"/>
  <c r="N702" i="1"/>
  <c r="N724" i="1"/>
  <c r="N757" i="1"/>
  <c r="N20" i="1"/>
  <c r="N48" i="1"/>
  <c r="N75" i="1"/>
  <c r="N105" i="1"/>
  <c r="N133" i="1"/>
  <c r="N180" i="1"/>
  <c r="N207" i="1"/>
  <c r="N236" i="1"/>
  <c r="N265" i="1"/>
  <c r="N292" i="1"/>
  <c r="N321" i="1"/>
  <c r="N361" i="1"/>
  <c r="N388" i="1"/>
  <c r="N413" i="1"/>
  <c r="N440" i="1"/>
  <c r="N468" i="1"/>
  <c r="N494" i="1"/>
  <c r="N527" i="1"/>
  <c r="N560" i="1"/>
  <c r="N594" i="1"/>
  <c r="N627" i="1"/>
  <c r="N651" i="1"/>
  <c r="N685" i="1"/>
  <c r="N715" i="1"/>
  <c r="N741" i="1"/>
  <c r="N771" i="1"/>
  <c r="N29" i="1"/>
  <c r="N57" i="1"/>
  <c r="N83" i="1"/>
  <c r="N120" i="1"/>
  <c r="N143" i="1"/>
  <c r="N156" i="1"/>
  <c r="N184" i="1"/>
  <c r="N218" i="1"/>
  <c r="N247" i="1"/>
  <c r="N277" i="1"/>
  <c r="N309" i="1"/>
  <c r="N335" i="1"/>
  <c r="N365" i="1"/>
  <c r="N398" i="1"/>
  <c r="N427" i="1"/>
  <c r="N460" i="1"/>
  <c r="N487" i="1"/>
  <c r="N525" i="1"/>
  <c r="N547" i="1"/>
  <c r="N578" i="1"/>
  <c r="N613" i="1"/>
  <c r="N635" i="1"/>
  <c r="N670" i="1"/>
  <c r="N697" i="1"/>
  <c r="N734" i="1"/>
  <c r="N764" i="1"/>
  <c r="N17" i="1"/>
  <c r="N52" i="1"/>
  <c r="N76" i="1"/>
  <c r="N103" i="1"/>
  <c r="N124" i="1"/>
  <c r="N162" i="1"/>
  <c r="N187" i="1"/>
  <c r="N214" i="1"/>
  <c r="N248" i="1"/>
  <c r="N280" i="1"/>
  <c r="N313" i="1"/>
  <c r="N343" i="1"/>
  <c r="N373" i="1"/>
  <c r="N393" i="1"/>
  <c r="N422" i="1"/>
  <c r="N452" i="1"/>
  <c r="N482" i="1"/>
  <c r="N512" i="1"/>
  <c r="N544" i="1"/>
  <c r="N575" i="1"/>
  <c r="N605" i="1"/>
  <c r="N632" i="1"/>
  <c r="N662" i="1"/>
  <c r="N696" i="1"/>
  <c r="N729" i="1"/>
  <c r="N753" i="1"/>
  <c r="N3" i="1"/>
  <c r="N34" i="1"/>
  <c r="N66" i="1"/>
  <c r="N95" i="1"/>
  <c r="N128" i="1"/>
  <c r="N170" i="1"/>
  <c r="N211" i="1"/>
  <c r="N240" i="1"/>
  <c r="N271" i="1"/>
  <c r="N301" i="1"/>
  <c r="N327" i="1"/>
  <c r="N355" i="1"/>
  <c r="N370" i="1"/>
  <c r="N420" i="1"/>
  <c r="N450" i="1"/>
  <c r="N481" i="1"/>
  <c r="N508" i="1"/>
  <c r="N530" i="1"/>
  <c r="N564" i="1"/>
  <c r="N600" i="1"/>
  <c r="N624" i="1"/>
  <c r="N659" i="1"/>
  <c r="N686" i="1"/>
  <c r="N714" i="1"/>
  <c r="N749" i="1"/>
  <c r="N781" i="1"/>
  <c r="N24" i="1"/>
  <c r="N54" i="1"/>
  <c r="N82" i="1"/>
  <c r="N118" i="1"/>
  <c r="N151" i="1"/>
  <c r="N178" i="1"/>
  <c r="N205" i="1"/>
  <c r="N231" i="1"/>
  <c r="N256" i="1"/>
  <c r="N287" i="1"/>
  <c r="N319" i="1"/>
  <c r="N348" i="1"/>
  <c r="N371" i="1"/>
  <c r="N407" i="1"/>
  <c r="N437" i="1"/>
  <c r="N471" i="1"/>
  <c r="N510" i="1"/>
  <c r="N540" i="1"/>
  <c r="N567" i="1"/>
  <c r="N587" i="1"/>
  <c r="N626" i="1"/>
  <c r="N650" i="1"/>
  <c r="N680" i="1"/>
  <c r="N712" i="1"/>
  <c r="N745" i="1"/>
  <c r="N774" i="1"/>
  <c r="N31" i="1"/>
  <c r="N61" i="1"/>
  <c r="N88" i="1"/>
  <c r="N109" i="1"/>
  <c r="N140" i="1"/>
  <c r="N171" i="1"/>
  <c r="N200" i="1"/>
  <c r="N232" i="1"/>
  <c r="N266" i="1"/>
  <c r="N295" i="1"/>
  <c r="N312" i="1"/>
  <c r="N340" i="1"/>
  <c r="N374" i="1"/>
  <c r="N414" i="1"/>
  <c r="N445" i="1"/>
  <c r="N470" i="1"/>
  <c r="N498" i="1"/>
  <c r="N533" i="1"/>
  <c r="N559" i="1"/>
  <c r="N589" i="1"/>
  <c r="N622" i="1"/>
  <c r="N646" i="1"/>
  <c r="N678" i="1"/>
  <c r="N707" i="1"/>
  <c r="N739" i="1"/>
  <c r="N768" i="1"/>
  <c r="N25" i="1"/>
  <c r="N59" i="1"/>
  <c r="N90" i="1"/>
  <c r="N119" i="1"/>
  <c r="N145" i="1"/>
  <c r="N154" i="1"/>
  <c r="N186" i="1"/>
  <c r="N215" i="1"/>
  <c r="N243" i="1"/>
  <c r="N273" i="1"/>
  <c r="N306" i="1"/>
  <c r="N338" i="1"/>
  <c r="N375" i="1"/>
  <c r="N410" i="1"/>
  <c r="N443" i="1"/>
  <c r="N472" i="1"/>
  <c r="N493" i="1"/>
  <c r="N516" i="1"/>
  <c r="N553" i="1"/>
  <c r="N581" i="1"/>
  <c r="N607" i="1"/>
  <c r="N634" i="1"/>
  <c r="N663" i="1"/>
  <c r="N692" i="1"/>
  <c r="N722" i="1"/>
  <c r="N752" i="1"/>
  <c r="N7" i="1"/>
  <c r="N35" i="1"/>
  <c r="N67" i="1"/>
  <c r="N93" i="1"/>
  <c r="N125" i="1"/>
  <c r="N152" i="1"/>
  <c r="N182" i="1"/>
  <c r="N212" i="1"/>
  <c r="N242" i="1"/>
  <c r="N272" i="1"/>
  <c r="N302" i="1"/>
  <c r="N332" i="1"/>
  <c r="N362" i="1"/>
  <c r="N392" i="1"/>
  <c r="N423" i="1"/>
  <c r="N453" i="1"/>
  <c r="N483" i="1"/>
  <c r="N518" i="1"/>
  <c r="N548" i="1"/>
  <c r="N574" i="1"/>
  <c r="N606" i="1"/>
  <c r="N633" i="1"/>
  <c r="N664" i="1"/>
  <c r="N693" i="1"/>
  <c r="N723" i="1"/>
  <c r="N754" i="1"/>
  <c r="N2" i="1"/>
  <c r="N32" i="1"/>
  <c r="N62" i="1"/>
  <c r="N92" i="1"/>
  <c r="N122" i="1"/>
  <c r="N173" i="1"/>
  <c r="N202" i="1"/>
  <c r="N229" i="1"/>
  <c r="N269" i="1"/>
  <c r="N297" i="1"/>
  <c r="N329" i="1"/>
  <c r="N352" i="1"/>
  <c r="N390" i="1"/>
  <c r="N417" i="1"/>
  <c r="N446" i="1"/>
  <c r="N478" i="1"/>
  <c r="N507" i="1"/>
  <c r="N538" i="1"/>
  <c r="N571" i="1"/>
  <c r="N596" i="1"/>
  <c r="N628" i="1"/>
  <c r="N653" i="1"/>
  <c r="N690" i="1"/>
  <c r="N721" i="1"/>
  <c r="N751" i="1"/>
  <c r="N780" i="1"/>
  <c r="N26" i="1"/>
  <c r="N60" i="1"/>
  <c r="N89" i="1"/>
  <c r="N113" i="1"/>
  <c r="N137" i="1"/>
  <c r="N155" i="1"/>
  <c r="N193" i="1"/>
  <c r="N219" i="1"/>
  <c r="N253" i="1"/>
  <c r="N278" i="1"/>
  <c r="N305" i="1"/>
  <c r="N333" i="1"/>
  <c r="N363" i="1"/>
  <c r="N394" i="1"/>
  <c r="N424" i="1"/>
  <c r="N458" i="1"/>
  <c r="N503" i="1"/>
  <c r="N536" i="1"/>
  <c r="N565" i="1"/>
  <c r="N584" i="1"/>
  <c r="N616" i="1"/>
  <c r="N640" i="1"/>
  <c r="N665" i="1"/>
  <c r="N695" i="1"/>
  <c r="N725" i="1"/>
  <c r="N755" i="1"/>
  <c r="N21" i="1"/>
  <c r="N55" i="1"/>
  <c r="N78" i="1"/>
  <c r="N106" i="1"/>
  <c r="N126" i="1"/>
  <c r="N179" i="1"/>
  <c r="N208" i="1"/>
  <c r="N238" i="1"/>
  <c r="N268" i="1"/>
  <c r="N299" i="1"/>
  <c r="N331" i="1"/>
  <c r="N359" i="1"/>
  <c r="N387" i="1"/>
  <c r="N418" i="1"/>
  <c r="N448" i="1"/>
  <c r="N475" i="1"/>
  <c r="N506" i="1"/>
  <c r="N534" i="1"/>
  <c r="N568" i="1"/>
  <c r="N599" i="1"/>
  <c r="N631" i="1"/>
  <c r="N661" i="1"/>
  <c r="N689" i="1"/>
  <c r="N719" i="1"/>
  <c r="N750" i="1"/>
  <c r="N777" i="1"/>
  <c r="N28" i="1"/>
  <c r="N50" i="1"/>
  <c r="N85" i="1"/>
  <c r="N110" i="1"/>
  <c r="N149" i="1"/>
  <c r="N167" i="1"/>
  <c r="N198" i="1"/>
  <c r="N235" i="1"/>
  <c r="N260" i="1"/>
  <c r="N300" i="1"/>
  <c r="N330" i="1"/>
  <c r="N358" i="1"/>
  <c r="N391" i="1"/>
  <c r="N416" i="1"/>
  <c r="N442" i="1"/>
  <c r="N469" i="1"/>
  <c r="N499" i="1"/>
  <c r="N541" i="1"/>
  <c r="N566" i="1"/>
  <c r="N595" i="1"/>
  <c r="N610" i="1"/>
  <c r="N639" i="1"/>
  <c r="N666" i="1"/>
  <c r="N694" i="1"/>
  <c r="N736" i="1"/>
  <c r="N759" i="1"/>
  <c r="N18" i="1"/>
  <c r="N56" i="1"/>
  <c r="N87" i="1"/>
  <c r="N116" i="1"/>
  <c r="N139" i="1"/>
  <c r="N158" i="1"/>
  <c r="N191" i="1"/>
  <c r="N220" i="1"/>
  <c r="N258" i="1"/>
  <c r="N284" i="1"/>
  <c r="N311" i="1"/>
  <c r="N339" i="1"/>
  <c r="N368" i="1"/>
  <c r="N397" i="1"/>
  <c r="N428" i="1"/>
  <c r="N455" i="1"/>
  <c r="N486" i="1"/>
  <c r="N515" i="1"/>
  <c r="N543" i="1"/>
  <c r="N577" i="1"/>
  <c r="N615" i="1"/>
  <c r="N643" i="1"/>
  <c r="N674" i="1"/>
  <c r="N701" i="1"/>
  <c r="N731" i="1"/>
  <c r="N765" i="1"/>
  <c r="N19" i="1"/>
  <c r="N46" i="1"/>
  <c r="N71" i="1"/>
  <c r="N100" i="1"/>
  <c r="N130" i="1"/>
  <c r="N159" i="1"/>
  <c r="N194" i="1"/>
  <c r="N217" i="1"/>
  <c r="N250" i="1"/>
  <c r="N281" i="1"/>
  <c r="N310" i="1"/>
  <c r="N347" i="1"/>
  <c r="N379" i="1"/>
  <c r="N411" i="1"/>
  <c r="N439" i="1"/>
  <c r="N462" i="1"/>
  <c r="N491" i="1"/>
  <c r="N523" i="1"/>
  <c r="N550" i="1"/>
  <c r="N582" i="1"/>
  <c r="N620" i="1"/>
  <c r="N652" i="1"/>
  <c r="N683" i="1"/>
  <c r="N709" i="1"/>
  <c r="N738" i="1"/>
  <c r="N767" i="1"/>
  <c r="N16" i="1"/>
  <c r="N42" i="1"/>
  <c r="N69" i="1"/>
  <c r="N98" i="1"/>
  <c r="N131" i="1"/>
  <c r="N157" i="1"/>
  <c r="N192" i="1"/>
  <c r="N222" i="1"/>
  <c r="N252" i="1"/>
  <c r="N288" i="1"/>
  <c r="N314" i="1"/>
  <c r="N342" i="1"/>
  <c r="N369" i="1"/>
  <c r="N402" i="1"/>
  <c r="N434" i="1"/>
  <c r="N463" i="1"/>
  <c r="N495" i="1"/>
  <c r="N524" i="1"/>
  <c r="N551" i="1"/>
  <c r="N579" i="1"/>
  <c r="N614" i="1"/>
  <c r="N641" i="1"/>
  <c r="N673" i="1"/>
  <c r="N708" i="1"/>
  <c r="N732" i="1"/>
  <c r="N770" i="1"/>
  <c r="N13" i="1"/>
  <c r="N40" i="1"/>
  <c r="N74" i="1"/>
  <c r="N99" i="1"/>
  <c r="N132" i="1"/>
  <c r="N181" i="1"/>
  <c r="N210" i="1"/>
  <c r="N241" i="1"/>
  <c r="N270" i="1"/>
  <c r="N296" i="1"/>
  <c r="N322" i="1"/>
  <c r="N360" i="1"/>
  <c r="N386" i="1"/>
  <c r="N419" i="1"/>
  <c r="N449" i="1"/>
  <c r="N479" i="1"/>
  <c r="N511" i="1"/>
  <c r="N539" i="1"/>
  <c r="N569" i="1"/>
  <c r="N601" i="1"/>
  <c r="N630" i="1"/>
  <c r="N658" i="1"/>
  <c r="N687" i="1"/>
  <c r="N718" i="1"/>
  <c r="N747" i="1"/>
  <c r="N779" i="1"/>
  <c r="N11" i="1"/>
  <c r="N49" i="1"/>
  <c r="N91" i="1"/>
  <c r="N121" i="1"/>
  <c r="N150" i="1"/>
  <c r="N172" i="1"/>
  <c r="N199" i="1"/>
  <c r="N228" i="1"/>
  <c r="N262" i="1"/>
  <c r="N293" i="1"/>
  <c r="N328" i="1"/>
  <c r="N344" i="1"/>
  <c r="N367" i="1"/>
  <c r="N399" i="1"/>
  <c r="N429" i="1"/>
  <c r="N459" i="1"/>
  <c r="N490" i="1"/>
  <c r="N514" i="1"/>
  <c r="N554" i="1"/>
  <c r="N585" i="1"/>
  <c r="N612" i="1"/>
  <c r="N649" i="1"/>
  <c r="N677" i="1"/>
  <c r="N699" i="1"/>
  <c r="N727" i="1"/>
  <c r="N758" i="1"/>
  <c r="N10" i="1"/>
  <c r="N38" i="1"/>
  <c r="N64" i="1"/>
  <c r="N96" i="1"/>
  <c r="N138" i="1"/>
  <c r="N176" i="1"/>
  <c r="N197" i="1"/>
  <c r="N226" i="1"/>
  <c r="N254" i="1"/>
  <c r="N286" i="1"/>
  <c r="N323" i="1"/>
  <c r="N354" i="1"/>
  <c r="N384" i="1"/>
  <c r="N401" i="1"/>
  <c r="N431" i="1"/>
  <c r="N461" i="1"/>
  <c r="N492" i="1"/>
  <c r="N521" i="1"/>
  <c r="N549" i="1"/>
  <c r="N591" i="1"/>
  <c r="N621" i="1"/>
  <c r="N644" i="1"/>
  <c r="N671" i="1"/>
  <c r="N698" i="1"/>
  <c r="N728" i="1"/>
  <c r="N756" i="1"/>
  <c r="N22" i="1"/>
  <c r="N41" i="1"/>
  <c r="N72" i="1"/>
  <c r="N111" i="1"/>
  <c r="N142" i="1"/>
  <c r="N174" i="1"/>
  <c r="N201" i="1"/>
  <c r="N239" i="1"/>
  <c r="N267" i="1"/>
  <c r="N298" i="1"/>
  <c r="N324" i="1"/>
  <c r="N353" i="1"/>
  <c r="N381" i="1"/>
  <c r="N403" i="1"/>
  <c r="N430" i="1"/>
  <c r="N457" i="1"/>
  <c r="N489" i="1"/>
  <c r="N520" i="1"/>
  <c r="N546" i="1"/>
  <c r="N576" i="1"/>
  <c r="N611" i="1"/>
  <c r="N636" i="1"/>
  <c r="N681" i="1"/>
  <c r="N713" i="1"/>
  <c r="N742" i="1"/>
  <c r="N775" i="1"/>
  <c r="N8" i="1"/>
  <c r="M39" i="1"/>
  <c r="M65" i="1"/>
  <c r="M101" i="1"/>
  <c r="M134" i="1"/>
  <c r="M168" i="1"/>
  <c r="M204" i="1"/>
  <c r="M234" i="1"/>
  <c r="M264" i="1"/>
  <c r="M291" i="1"/>
  <c r="M326" i="1"/>
  <c r="M356" i="1"/>
  <c r="M385" i="1"/>
  <c r="M408" i="1"/>
  <c r="M432" i="1"/>
  <c r="M476" i="1"/>
  <c r="M501" i="1"/>
  <c r="M535" i="1"/>
  <c r="M558" i="1"/>
  <c r="M588" i="1"/>
  <c r="M602" i="1"/>
  <c r="M655" i="1"/>
  <c r="M684" i="1"/>
  <c r="M711" i="1"/>
  <c r="M735" i="1"/>
  <c r="M761" i="1"/>
  <c r="M5" i="1"/>
  <c r="M37" i="1"/>
  <c r="M68" i="1"/>
  <c r="M94" i="1"/>
  <c r="M129" i="1"/>
  <c r="M161" i="1"/>
  <c r="M190" i="1"/>
  <c r="M227" i="1"/>
  <c r="M251" i="1"/>
  <c r="M282" i="1"/>
  <c r="M316" i="1"/>
  <c r="M346" i="1"/>
  <c r="M377" i="1"/>
  <c r="M409" i="1"/>
  <c r="M435" i="1"/>
  <c r="M473" i="1"/>
  <c r="M504" i="1"/>
  <c r="M526" i="1"/>
  <c r="M562" i="1"/>
  <c r="M593" i="1"/>
  <c r="M603" i="1"/>
  <c r="M656" i="1"/>
  <c r="M669" i="1"/>
  <c r="M700" i="1"/>
  <c r="M726" i="1"/>
  <c r="M760" i="1"/>
  <c r="M4" i="1"/>
  <c r="M43" i="1"/>
  <c r="M77" i="1"/>
  <c r="M104" i="1"/>
  <c r="M141" i="1"/>
  <c r="M165" i="1"/>
  <c r="M196" i="1"/>
  <c r="M225" i="1"/>
  <c r="M263" i="1"/>
  <c r="M294" i="1"/>
  <c r="M318" i="1"/>
  <c r="M349" i="1"/>
  <c r="M380" i="1"/>
  <c r="M406" i="1"/>
  <c r="M436" i="1"/>
  <c r="M465" i="1"/>
  <c r="M488" i="1"/>
  <c r="M522" i="1"/>
  <c r="M555" i="1"/>
  <c r="M598" i="1"/>
  <c r="M604" i="1"/>
  <c r="M657" i="1"/>
  <c r="M691" i="1"/>
  <c r="M720" i="1"/>
  <c r="M744" i="1"/>
  <c r="M766" i="1"/>
  <c r="M6" i="1"/>
  <c r="M33" i="1"/>
  <c r="M63" i="1"/>
  <c r="M97" i="1"/>
  <c r="M123" i="1"/>
  <c r="M153" i="1"/>
  <c r="M183" i="1"/>
  <c r="M213" i="1"/>
  <c r="M245" i="1"/>
  <c r="M275" i="1"/>
  <c r="M303" i="1"/>
  <c r="M334" i="1"/>
  <c r="M364" i="1"/>
  <c r="M395" i="1"/>
  <c r="M425" i="1"/>
  <c r="M454" i="1"/>
  <c r="M484" i="1"/>
  <c r="M517" i="1"/>
  <c r="M542" i="1"/>
  <c r="M572" i="1"/>
  <c r="M617" i="1"/>
  <c r="M637" i="1"/>
  <c r="M667" i="1"/>
  <c r="M703" i="1"/>
  <c r="M733" i="1"/>
  <c r="M762" i="1"/>
  <c r="M14" i="1"/>
  <c r="M45" i="1"/>
  <c r="M73" i="1"/>
  <c r="M102" i="1"/>
  <c r="M127" i="1"/>
  <c r="M160" i="1"/>
  <c r="M188" i="1"/>
  <c r="M216" i="1"/>
  <c r="M249" i="1"/>
  <c r="M274" i="1"/>
  <c r="M304" i="1"/>
  <c r="M337" i="1"/>
  <c r="M376" i="1"/>
  <c r="M405" i="1"/>
  <c r="M444" i="1"/>
  <c r="M464" i="1"/>
  <c r="M496" i="1"/>
  <c r="M519" i="1"/>
  <c r="M545" i="1"/>
  <c r="M573" i="1"/>
  <c r="M609" i="1"/>
  <c r="M642" i="1"/>
  <c r="M675" i="1"/>
  <c r="M705" i="1"/>
  <c r="M730" i="1"/>
  <c r="M763" i="1"/>
  <c r="M27" i="1"/>
  <c r="M47" i="1"/>
  <c r="M79" i="1"/>
  <c r="M112" i="1"/>
  <c r="M135" i="1"/>
  <c r="M164" i="1"/>
  <c r="M185" i="1"/>
  <c r="M221" i="1"/>
  <c r="M246" i="1"/>
  <c r="M283" i="1"/>
  <c r="M308" i="1"/>
  <c r="M336" i="1"/>
  <c r="M372" i="1"/>
  <c r="M400" i="1"/>
  <c r="M441" i="1"/>
  <c r="M466" i="1"/>
  <c r="M497" i="1"/>
  <c r="M531" i="1"/>
  <c r="M570" i="1"/>
  <c r="M597" i="1"/>
  <c r="M623" i="1"/>
  <c r="M645" i="1"/>
  <c r="M668" i="1"/>
  <c r="M704" i="1"/>
  <c r="M740" i="1"/>
  <c r="M778" i="1"/>
  <c r="M23" i="1"/>
  <c r="M53" i="1"/>
  <c r="M84" i="1"/>
  <c r="M108" i="1"/>
  <c r="M146" i="1"/>
  <c r="M169" i="1"/>
  <c r="M203" i="1"/>
  <c r="M230" i="1"/>
  <c r="M259" i="1"/>
  <c r="M290" i="1"/>
  <c r="M320" i="1"/>
  <c r="M350" i="1"/>
  <c r="M378" i="1"/>
  <c r="M404" i="1"/>
  <c r="M433" i="1"/>
  <c r="M467" i="1"/>
  <c r="M502" i="1"/>
  <c r="M537" i="1"/>
  <c r="M563" i="1"/>
  <c r="M586" i="1"/>
  <c r="M618" i="1"/>
  <c r="M647" i="1"/>
  <c r="M682" i="1"/>
  <c r="M717" i="1"/>
  <c r="M746" i="1"/>
  <c r="M773" i="1"/>
  <c r="M9" i="1"/>
  <c r="M36" i="1"/>
  <c r="M70" i="1"/>
  <c r="M115" i="1"/>
  <c r="M148" i="1"/>
  <c r="M177" i="1"/>
  <c r="M206" i="1"/>
  <c r="M233" i="1"/>
  <c r="M257" i="1"/>
  <c r="M285" i="1"/>
  <c r="M325" i="1"/>
  <c r="M357" i="1"/>
  <c r="M382" i="1"/>
  <c r="M412" i="1"/>
  <c r="M447" i="1"/>
  <c r="M477" i="1"/>
  <c r="M505" i="1"/>
  <c r="M529" i="1"/>
  <c r="M557" i="1"/>
  <c r="M590" i="1"/>
  <c r="M629" i="1"/>
  <c r="M660" i="1"/>
  <c r="M688" i="1"/>
  <c r="M716" i="1"/>
  <c r="M748" i="1"/>
  <c r="M776" i="1"/>
  <c r="M12" i="1"/>
  <c r="M44" i="1"/>
  <c r="M80" i="1"/>
  <c r="M107" i="1"/>
  <c r="M136" i="1"/>
  <c r="M175" i="1"/>
  <c r="M209" i="1"/>
  <c r="M237" i="1"/>
  <c r="M261" i="1"/>
  <c r="M289" i="1"/>
  <c r="M317" i="1"/>
  <c r="M345" i="1"/>
  <c r="M383" i="1"/>
  <c r="M415" i="1"/>
  <c r="M438" i="1"/>
  <c r="M474" i="1"/>
  <c r="M500" i="1"/>
  <c r="M532" i="1"/>
  <c r="M556" i="1"/>
  <c r="M583" i="1"/>
  <c r="M619" i="1"/>
  <c r="M648" i="1"/>
  <c r="M676" i="1"/>
  <c r="M706" i="1"/>
  <c r="M737" i="1"/>
  <c r="M772" i="1"/>
  <c r="M15" i="1"/>
  <c r="M51" i="1"/>
  <c r="M81" i="1"/>
  <c r="M114" i="1"/>
  <c r="M144" i="1"/>
  <c r="M166" i="1"/>
  <c r="M195" i="1"/>
  <c r="M223" i="1"/>
  <c r="M244" i="1"/>
  <c r="M276" i="1"/>
  <c r="M307" i="1"/>
  <c r="M341" i="1"/>
  <c r="M366" i="1"/>
  <c r="M396" i="1"/>
  <c r="M426" i="1"/>
  <c r="M456" i="1"/>
  <c r="M485" i="1"/>
  <c r="M513" i="1"/>
  <c r="M561" i="1"/>
  <c r="M592" i="1"/>
  <c r="M625" i="1"/>
  <c r="M654" i="1"/>
  <c r="M679" i="1"/>
  <c r="M710" i="1"/>
  <c r="M743" i="1"/>
  <c r="M769" i="1"/>
  <c r="M30" i="1"/>
  <c r="M58" i="1"/>
  <c r="M86" i="1"/>
  <c r="M117" i="1"/>
  <c r="M147" i="1"/>
  <c r="M163" i="1"/>
  <c r="M189" i="1"/>
  <c r="M224" i="1"/>
  <c r="M255" i="1"/>
  <c r="M279" i="1"/>
  <c r="M315" i="1"/>
  <c r="M351" i="1"/>
  <c r="M389" i="1"/>
  <c r="M421" i="1"/>
  <c r="M451" i="1"/>
  <c r="M480" i="1"/>
  <c r="M509" i="1"/>
  <c r="M528" i="1"/>
  <c r="M552" i="1"/>
  <c r="M580" i="1"/>
  <c r="M608" i="1"/>
  <c r="M638" i="1"/>
  <c r="M672" i="1"/>
  <c r="M702" i="1"/>
  <c r="M724" i="1"/>
  <c r="M757" i="1"/>
  <c r="M20" i="1"/>
  <c r="M48" i="1"/>
  <c r="M75" i="1"/>
  <c r="M105" i="1"/>
  <c r="M133" i="1"/>
  <c r="M180" i="1"/>
  <c r="M207" i="1"/>
  <c r="M236" i="1"/>
  <c r="M265" i="1"/>
  <c r="M292" i="1"/>
  <c r="M321" i="1"/>
  <c r="M361" i="1"/>
  <c r="M388" i="1"/>
  <c r="M413" i="1"/>
  <c r="M440" i="1"/>
  <c r="M468" i="1"/>
  <c r="M494" i="1"/>
  <c r="M527" i="1"/>
  <c r="M560" i="1"/>
  <c r="M594" i="1"/>
  <c r="M627" i="1"/>
  <c r="M651" i="1"/>
  <c r="M685" i="1"/>
  <c r="M715" i="1"/>
  <c r="M741" i="1"/>
  <c r="M771" i="1"/>
  <c r="M29" i="1"/>
  <c r="M57" i="1"/>
  <c r="M83" i="1"/>
  <c r="M120" i="1"/>
  <c r="M143" i="1"/>
  <c r="M156" i="1"/>
  <c r="M184" i="1"/>
  <c r="M218" i="1"/>
  <c r="M247" i="1"/>
  <c r="M277" i="1"/>
  <c r="M309" i="1"/>
  <c r="M335" i="1"/>
  <c r="M365" i="1"/>
  <c r="M398" i="1"/>
  <c r="M427" i="1"/>
  <c r="M460" i="1"/>
  <c r="M487" i="1"/>
  <c r="M525" i="1"/>
  <c r="M547" i="1"/>
  <c r="M578" i="1"/>
  <c r="M613" i="1"/>
  <c r="M635" i="1"/>
  <c r="M670" i="1"/>
  <c r="M697" i="1"/>
  <c r="M734" i="1"/>
  <c r="M764" i="1"/>
  <c r="M17" i="1"/>
  <c r="M52" i="1"/>
  <c r="M76" i="1"/>
  <c r="M103" i="1"/>
  <c r="M124" i="1"/>
  <c r="M162" i="1"/>
  <c r="M187" i="1"/>
  <c r="M214" i="1"/>
  <c r="M248" i="1"/>
  <c r="M280" i="1"/>
  <c r="M313" i="1"/>
  <c r="M343" i="1"/>
  <c r="M373" i="1"/>
  <c r="M393" i="1"/>
  <c r="M422" i="1"/>
  <c r="M452" i="1"/>
  <c r="M482" i="1"/>
  <c r="M512" i="1"/>
  <c r="M544" i="1"/>
  <c r="M575" i="1"/>
  <c r="M605" i="1"/>
  <c r="M632" i="1"/>
  <c r="M662" i="1"/>
  <c r="M696" i="1"/>
  <c r="M729" i="1"/>
  <c r="M753" i="1"/>
  <c r="M3" i="1"/>
  <c r="M34" i="1"/>
  <c r="M66" i="1"/>
  <c r="M95" i="1"/>
  <c r="M128" i="1"/>
  <c r="M170" i="1"/>
  <c r="M211" i="1"/>
  <c r="M240" i="1"/>
  <c r="M271" i="1"/>
  <c r="M301" i="1"/>
  <c r="M327" i="1"/>
  <c r="M355" i="1"/>
  <c r="M370" i="1"/>
  <c r="M420" i="1"/>
  <c r="M450" i="1"/>
  <c r="M481" i="1"/>
  <c r="M508" i="1"/>
  <c r="M530" i="1"/>
  <c r="M564" i="1"/>
  <c r="M600" i="1"/>
  <c r="M624" i="1"/>
  <c r="M659" i="1"/>
  <c r="M686" i="1"/>
  <c r="M714" i="1"/>
  <c r="M749" i="1"/>
  <c r="M781" i="1"/>
  <c r="M24" i="1"/>
  <c r="M54" i="1"/>
  <c r="M82" i="1"/>
  <c r="M118" i="1"/>
  <c r="M151" i="1"/>
  <c r="M178" i="1"/>
  <c r="M205" i="1"/>
  <c r="M231" i="1"/>
  <c r="M256" i="1"/>
  <c r="M287" i="1"/>
  <c r="M319" i="1"/>
  <c r="M348" i="1"/>
  <c r="M371" i="1"/>
  <c r="M407" i="1"/>
  <c r="M437" i="1"/>
  <c r="M471" i="1"/>
  <c r="M510" i="1"/>
  <c r="M540" i="1"/>
  <c r="M567" i="1"/>
  <c r="M587" i="1"/>
  <c r="M626" i="1"/>
  <c r="M650" i="1"/>
  <c r="M680" i="1"/>
  <c r="M712" i="1"/>
  <c r="M745" i="1"/>
  <c r="M774" i="1"/>
  <c r="M31" i="1"/>
  <c r="M61" i="1"/>
  <c r="M88" i="1"/>
  <c r="M109" i="1"/>
  <c r="M140" i="1"/>
  <c r="M171" i="1"/>
  <c r="M200" i="1"/>
  <c r="M232" i="1"/>
  <c r="M266" i="1"/>
  <c r="M295" i="1"/>
  <c r="M312" i="1"/>
  <c r="M340" i="1"/>
  <c r="M374" i="1"/>
  <c r="M414" i="1"/>
  <c r="M445" i="1"/>
  <c r="M470" i="1"/>
  <c r="M498" i="1"/>
  <c r="M533" i="1"/>
  <c r="M559" i="1"/>
  <c r="M589" i="1"/>
  <c r="M622" i="1"/>
  <c r="M646" i="1"/>
  <c r="M678" i="1"/>
  <c r="M707" i="1"/>
  <c r="M739" i="1"/>
  <c r="M768" i="1"/>
  <c r="M25" i="1"/>
  <c r="M59" i="1"/>
  <c r="M90" i="1"/>
  <c r="M119" i="1"/>
  <c r="M145" i="1"/>
  <c r="M154" i="1"/>
  <c r="M186" i="1"/>
  <c r="M215" i="1"/>
  <c r="M243" i="1"/>
  <c r="M273" i="1"/>
  <c r="M306" i="1"/>
  <c r="M338" i="1"/>
  <c r="M375" i="1"/>
  <c r="M410" i="1"/>
  <c r="M443" i="1"/>
  <c r="M472" i="1"/>
  <c r="M493" i="1"/>
  <c r="M516" i="1"/>
  <c r="M553" i="1"/>
  <c r="M581" i="1"/>
  <c r="M607" i="1"/>
  <c r="M634" i="1"/>
  <c r="M663" i="1"/>
  <c r="M692" i="1"/>
  <c r="M722" i="1"/>
  <c r="M752" i="1"/>
  <c r="M7" i="1"/>
  <c r="M35" i="1"/>
  <c r="M67" i="1"/>
  <c r="M93" i="1"/>
  <c r="M125" i="1"/>
  <c r="M152" i="1"/>
  <c r="M182" i="1"/>
  <c r="M212" i="1"/>
  <c r="M242" i="1"/>
  <c r="M272" i="1"/>
  <c r="M302" i="1"/>
  <c r="M332" i="1"/>
  <c r="M362" i="1"/>
  <c r="M392" i="1"/>
  <c r="M423" i="1"/>
  <c r="M453" i="1"/>
  <c r="M483" i="1"/>
  <c r="M518" i="1"/>
  <c r="M548" i="1"/>
  <c r="M574" i="1"/>
  <c r="M606" i="1"/>
  <c r="M633" i="1"/>
  <c r="M664" i="1"/>
  <c r="M693" i="1"/>
  <c r="M723" i="1"/>
  <c r="M754" i="1"/>
  <c r="M2" i="1"/>
  <c r="M32" i="1"/>
  <c r="M62" i="1"/>
  <c r="M92" i="1"/>
  <c r="M122" i="1"/>
  <c r="M173" i="1"/>
  <c r="M202" i="1"/>
  <c r="M229" i="1"/>
  <c r="M269" i="1"/>
  <c r="M297" i="1"/>
  <c r="M329" i="1"/>
  <c r="M352" i="1"/>
  <c r="M390" i="1"/>
  <c r="M417" i="1"/>
  <c r="M446" i="1"/>
  <c r="M478" i="1"/>
  <c r="M507" i="1"/>
  <c r="M538" i="1"/>
  <c r="M571" i="1"/>
  <c r="M596" i="1"/>
  <c r="M628" i="1"/>
  <c r="M653" i="1"/>
  <c r="M690" i="1"/>
  <c r="M721" i="1"/>
  <c r="M751" i="1"/>
  <c r="M780" i="1"/>
  <c r="M26" i="1"/>
  <c r="M60" i="1"/>
  <c r="M89" i="1"/>
  <c r="M113" i="1"/>
  <c r="M137" i="1"/>
  <c r="M155" i="1"/>
  <c r="M193" i="1"/>
  <c r="M219" i="1"/>
  <c r="M253" i="1"/>
  <c r="M278" i="1"/>
  <c r="M305" i="1"/>
  <c r="M333" i="1"/>
  <c r="M363" i="1"/>
  <c r="M394" i="1"/>
  <c r="M424" i="1"/>
  <c r="M458" i="1"/>
  <c r="M503" i="1"/>
  <c r="M536" i="1"/>
  <c r="M565" i="1"/>
  <c r="M584" i="1"/>
  <c r="M616" i="1"/>
  <c r="M640" i="1"/>
  <c r="M665" i="1"/>
  <c r="M695" i="1"/>
  <c r="M725" i="1"/>
  <c r="M755" i="1"/>
  <c r="M21" i="1"/>
  <c r="M55" i="1"/>
  <c r="M78" i="1"/>
  <c r="M106" i="1"/>
  <c r="M126" i="1"/>
  <c r="M179" i="1"/>
  <c r="M208" i="1"/>
  <c r="M238" i="1"/>
  <c r="M268" i="1"/>
  <c r="M299" i="1"/>
  <c r="M331" i="1"/>
  <c r="M359" i="1"/>
  <c r="M387" i="1"/>
  <c r="M418" i="1"/>
  <c r="M448" i="1"/>
  <c r="M475" i="1"/>
  <c r="M506" i="1"/>
  <c r="M534" i="1"/>
  <c r="M568" i="1"/>
  <c r="M599" i="1"/>
  <c r="M631" i="1"/>
  <c r="M661" i="1"/>
  <c r="M689" i="1"/>
  <c r="M719" i="1"/>
  <c r="M750" i="1"/>
  <c r="M777" i="1"/>
  <c r="M28" i="1"/>
  <c r="M50" i="1"/>
  <c r="M85" i="1"/>
  <c r="M110" i="1"/>
  <c r="M149" i="1"/>
  <c r="M167" i="1"/>
  <c r="M198" i="1"/>
  <c r="M235" i="1"/>
  <c r="M260" i="1"/>
  <c r="M300" i="1"/>
  <c r="M330" i="1"/>
  <c r="M358" i="1"/>
  <c r="M391" i="1"/>
  <c r="M416" i="1"/>
  <c r="M442" i="1"/>
  <c r="M469" i="1"/>
  <c r="M499" i="1"/>
  <c r="M541" i="1"/>
  <c r="M566" i="1"/>
  <c r="M595" i="1"/>
  <c r="M610" i="1"/>
  <c r="M639" i="1"/>
  <c r="M666" i="1"/>
  <c r="M694" i="1"/>
  <c r="M736" i="1"/>
  <c r="M759" i="1"/>
  <c r="M18" i="1"/>
  <c r="M56" i="1"/>
  <c r="M87" i="1"/>
  <c r="M116" i="1"/>
  <c r="M139" i="1"/>
  <c r="M158" i="1"/>
  <c r="M191" i="1"/>
  <c r="M220" i="1"/>
  <c r="M258" i="1"/>
  <c r="M284" i="1"/>
  <c r="M311" i="1"/>
  <c r="M339" i="1"/>
  <c r="M368" i="1"/>
  <c r="M397" i="1"/>
  <c r="M428" i="1"/>
  <c r="M455" i="1"/>
  <c r="M486" i="1"/>
  <c r="M515" i="1"/>
  <c r="M543" i="1"/>
  <c r="M577" i="1"/>
  <c r="M615" i="1"/>
  <c r="M643" i="1"/>
  <c r="M674" i="1"/>
  <c r="M701" i="1"/>
  <c r="M731" i="1"/>
  <c r="M765" i="1"/>
  <c r="M19" i="1"/>
  <c r="M46" i="1"/>
  <c r="M71" i="1"/>
  <c r="M100" i="1"/>
  <c r="M130" i="1"/>
  <c r="M159" i="1"/>
  <c r="M194" i="1"/>
  <c r="M217" i="1"/>
  <c r="M250" i="1"/>
  <c r="M281" i="1"/>
  <c r="M310" i="1"/>
  <c r="M347" i="1"/>
  <c r="M379" i="1"/>
  <c r="M411" i="1"/>
  <c r="M439" i="1"/>
  <c r="M462" i="1"/>
  <c r="M491" i="1"/>
  <c r="M523" i="1"/>
  <c r="M550" i="1"/>
  <c r="M582" i="1"/>
  <c r="M620" i="1"/>
  <c r="M652" i="1"/>
  <c r="M683" i="1"/>
  <c r="M709" i="1"/>
  <c r="M738" i="1"/>
  <c r="M767" i="1"/>
  <c r="M16" i="1"/>
  <c r="M42" i="1"/>
  <c r="M69" i="1"/>
  <c r="M98" i="1"/>
  <c r="M131" i="1"/>
  <c r="M157" i="1"/>
  <c r="M192" i="1"/>
  <c r="M222" i="1"/>
  <c r="M252" i="1"/>
  <c r="M288" i="1"/>
  <c r="M314" i="1"/>
  <c r="M342" i="1"/>
  <c r="M369" i="1"/>
  <c r="M402" i="1"/>
  <c r="M434" i="1"/>
  <c r="M463" i="1"/>
  <c r="M495" i="1"/>
  <c r="M524" i="1"/>
  <c r="M551" i="1"/>
  <c r="M579" i="1"/>
  <c r="M614" i="1"/>
  <c r="M641" i="1"/>
  <c r="M673" i="1"/>
  <c r="M708" i="1"/>
  <c r="M732" i="1"/>
  <c r="M770" i="1"/>
  <c r="M13" i="1"/>
  <c r="M40" i="1"/>
  <c r="M74" i="1"/>
  <c r="M99" i="1"/>
  <c r="M132" i="1"/>
  <c r="M181" i="1"/>
  <c r="M210" i="1"/>
  <c r="M241" i="1"/>
  <c r="M270" i="1"/>
  <c r="M296" i="1"/>
  <c r="M322" i="1"/>
  <c r="M360" i="1"/>
  <c r="M386" i="1"/>
  <c r="M419" i="1"/>
  <c r="M449" i="1"/>
  <c r="M479" i="1"/>
  <c r="M511" i="1"/>
  <c r="M539" i="1"/>
  <c r="M569" i="1"/>
  <c r="M601" i="1"/>
  <c r="M630" i="1"/>
  <c r="M658" i="1"/>
  <c r="M687" i="1"/>
  <c r="M718" i="1"/>
  <c r="M747" i="1"/>
  <c r="M779" i="1"/>
  <c r="M11" i="1"/>
  <c r="M49" i="1"/>
  <c r="M91" i="1"/>
  <c r="M121" i="1"/>
  <c r="M150" i="1"/>
  <c r="M172" i="1"/>
  <c r="M199" i="1"/>
  <c r="M228" i="1"/>
  <c r="M262" i="1"/>
  <c r="M293" i="1"/>
  <c r="M328" i="1"/>
  <c r="M344" i="1"/>
  <c r="M367" i="1"/>
  <c r="M399" i="1"/>
  <c r="M429" i="1"/>
  <c r="M459" i="1"/>
  <c r="M490" i="1"/>
  <c r="M514" i="1"/>
  <c r="M554" i="1"/>
  <c r="M585" i="1"/>
  <c r="M612" i="1"/>
  <c r="M649" i="1"/>
  <c r="M677" i="1"/>
  <c r="M699" i="1"/>
  <c r="M727" i="1"/>
  <c r="M758" i="1"/>
  <c r="M10" i="1"/>
  <c r="M38" i="1"/>
  <c r="M64" i="1"/>
  <c r="M96" i="1"/>
  <c r="M138" i="1"/>
  <c r="M176" i="1"/>
  <c r="M197" i="1"/>
  <c r="M226" i="1"/>
  <c r="M254" i="1"/>
  <c r="M286" i="1"/>
  <c r="M323" i="1"/>
  <c r="M354" i="1"/>
  <c r="M384" i="1"/>
  <c r="M401" i="1"/>
  <c r="M431" i="1"/>
  <c r="M461" i="1"/>
  <c r="M492" i="1"/>
  <c r="M521" i="1"/>
  <c r="M549" i="1"/>
  <c r="M591" i="1"/>
  <c r="M621" i="1"/>
  <c r="M644" i="1"/>
  <c r="M671" i="1"/>
  <c r="M698" i="1"/>
  <c r="M728" i="1"/>
  <c r="M756" i="1"/>
  <c r="M22" i="1"/>
  <c r="M41" i="1"/>
  <c r="M72" i="1"/>
  <c r="M111" i="1"/>
  <c r="M142" i="1"/>
  <c r="M174" i="1"/>
  <c r="M201" i="1"/>
  <c r="M239" i="1"/>
  <c r="M267" i="1"/>
  <c r="M298" i="1"/>
  <c r="M324" i="1"/>
  <c r="M353" i="1"/>
  <c r="M381" i="1"/>
  <c r="M403" i="1"/>
  <c r="M430" i="1"/>
  <c r="M457" i="1"/>
  <c r="M489" i="1"/>
  <c r="M520" i="1"/>
  <c r="M546" i="1"/>
  <c r="M576" i="1"/>
  <c r="M611" i="1"/>
  <c r="M636" i="1"/>
  <c r="M681" i="1"/>
  <c r="M713" i="1"/>
  <c r="M742" i="1"/>
  <c r="M775" i="1"/>
  <c r="M8" i="1"/>
  <c r="Q558" i="1" l="1"/>
  <c r="Q781" i="1"/>
  <c r="Q757" i="1"/>
  <c r="Q733" i="1"/>
  <c r="Q709" i="1"/>
  <c r="Q685" i="1"/>
  <c r="Q661" i="1"/>
  <c r="Q637" i="1"/>
  <c r="Q613" i="1"/>
  <c r="Q589" i="1"/>
  <c r="Q565" i="1"/>
  <c r="Q541" i="1"/>
  <c r="Q517" i="1"/>
  <c r="Q493" i="1"/>
  <c r="Q469" i="1"/>
  <c r="Q445" i="1"/>
  <c r="Q421" i="1"/>
  <c r="Q397" i="1"/>
  <c r="Q373" i="1"/>
  <c r="Q349" i="1"/>
  <c r="Q325" i="1"/>
  <c r="Q301" i="1"/>
  <c r="Q277" i="1"/>
  <c r="Q253" i="1"/>
  <c r="Q229" i="1"/>
  <c r="Q205" i="1"/>
  <c r="Q181" i="1"/>
  <c r="Q157" i="1"/>
  <c r="Q133" i="1"/>
  <c r="Q109" i="1"/>
  <c r="Q85" i="1"/>
  <c r="Q61" i="1"/>
  <c r="Q37" i="1"/>
  <c r="Q13" i="1"/>
  <c r="Q395" i="1"/>
  <c r="Q107" i="1"/>
  <c r="Q754" i="1"/>
  <c r="Q514" i="1"/>
  <c r="Q634" i="1"/>
  <c r="Q682" i="1"/>
  <c r="Q538" i="1"/>
  <c r="Q104" i="1"/>
  <c r="Q32" i="1"/>
  <c r="Q607" i="1"/>
  <c r="Q439" i="1"/>
  <c r="Q391" i="1"/>
  <c r="Q175" i="1"/>
  <c r="Q103" i="1"/>
  <c r="Q55" i="1"/>
  <c r="Q31" i="1"/>
  <c r="Q730" i="1"/>
  <c r="Q562" i="1"/>
  <c r="Q778" i="1"/>
  <c r="Q586" i="1"/>
  <c r="Q610" i="1"/>
  <c r="Q442" i="1"/>
  <c r="Q706" i="1"/>
  <c r="Q490" i="1"/>
  <c r="Q243" i="1"/>
  <c r="Q171" i="1"/>
  <c r="Q658" i="1"/>
  <c r="Q466" i="1"/>
  <c r="Q747" i="1"/>
  <c r="Q675" i="1"/>
  <c r="Q627" i="1"/>
  <c r="Q315" i="1"/>
  <c r="Q51" i="1"/>
  <c r="Q701" i="1"/>
  <c r="Q437" i="1"/>
  <c r="Q269" i="1"/>
  <c r="Q5" i="1"/>
  <c r="Q145" i="1"/>
  <c r="Q49" i="1"/>
  <c r="Q294" i="1"/>
  <c r="Q653" i="1"/>
  <c r="Q341" i="1"/>
  <c r="Q221" i="1"/>
  <c r="Q581" i="1"/>
  <c r="Q173" i="1"/>
  <c r="Q677" i="1"/>
  <c r="Q197" i="1"/>
  <c r="Q509" i="1"/>
  <c r="Q149" i="1"/>
  <c r="Q773" i="1"/>
  <c r="Q557" i="1"/>
  <c r="Q389" i="1"/>
  <c r="Q101" i="1"/>
  <c r="Q532" i="1"/>
  <c r="Q316" i="1"/>
  <c r="Q629" i="1"/>
  <c r="Q413" i="1"/>
  <c r="Q125" i="1"/>
  <c r="Q696" i="1"/>
  <c r="Q672" i="1"/>
  <c r="Q576" i="1"/>
  <c r="Q552" i="1"/>
  <c r="Q528" i="1"/>
  <c r="Q384" i="1"/>
  <c r="Q240" i="1"/>
  <c r="Q216" i="1"/>
  <c r="Q192" i="1"/>
  <c r="Q168" i="1"/>
  <c r="Q144" i="1"/>
  <c r="Q120" i="1"/>
  <c r="Q96" i="1"/>
  <c r="Q72" i="1"/>
  <c r="Q48" i="1"/>
  <c r="Q24" i="1"/>
  <c r="Q485" i="1"/>
  <c r="Q245" i="1"/>
  <c r="Q768" i="1"/>
  <c r="Q648" i="1"/>
  <c r="Q725" i="1"/>
  <c r="Q461" i="1"/>
  <c r="Q293" i="1"/>
  <c r="Q77" i="1"/>
  <c r="Q720" i="1"/>
  <c r="Q742" i="1"/>
  <c r="Q718" i="1"/>
  <c r="Q670" i="1"/>
  <c r="Q622" i="1"/>
  <c r="Q574" i="1"/>
  <c r="Q526" i="1"/>
  <c r="Q478" i="1"/>
  <c r="Q430" i="1"/>
  <c r="Q382" i="1"/>
  <c r="Q334" i="1"/>
  <c r="Q286" i="1"/>
  <c r="Q238" i="1"/>
  <c r="Q190" i="1"/>
  <c r="Q142" i="1"/>
  <c r="Q118" i="1"/>
  <c r="Q46" i="1"/>
  <c r="Q22" i="1"/>
  <c r="Q749" i="1"/>
  <c r="Q533" i="1"/>
  <c r="Q317" i="1"/>
  <c r="Q29" i="1"/>
  <c r="Q460" i="1"/>
  <c r="Q744" i="1"/>
  <c r="Q624" i="1"/>
  <c r="Q766" i="1"/>
  <c r="Q694" i="1"/>
  <c r="Q646" i="1"/>
  <c r="Q598" i="1"/>
  <c r="Q550" i="1"/>
  <c r="Q502" i="1"/>
  <c r="Q454" i="1"/>
  <c r="Q406" i="1"/>
  <c r="Q358" i="1"/>
  <c r="Q310" i="1"/>
  <c r="Q262" i="1"/>
  <c r="Q214" i="1"/>
  <c r="Q70" i="1"/>
  <c r="Q605" i="1"/>
  <c r="Q365" i="1"/>
  <c r="Q53" i="1"/>
  <c r="Q608" i="1"/>
  <c r="Q745" i="1"/>
  <c r="Q697" i="1"/>
  <c r="Q625" i="1"/>
  <c r="Q553" i="1"/>
  <c r="Q457" i="1"/>
  <c r="Q385" i="1"/>
  <c r="Q179" i="1"/>
  <c r="Q19" i="1"/>
  <c r="Q760" i="1"/>
  <c r="Q736" i="1"/>
  <c r="Q712" i="1"/>
  <c r="Q688" i="1"/>
  <c r="Q664" i="1"/>
  <c r="Q640" i="1"/>
  <c r="Q616" i="1"/>
  <c r="Q592" i="1"/>
  <c r="Q568" i="1"/>
  <c r="Q544" i="1"/>
  <c r="Q520" i="1"/>
  <c r="Q496" i="1"/>
  <c r="Q472" i="1"/>
  <c r="Q448" i="1"/>
  <c r="Q424" i="1"/>
  <c r="Q400" i="1"/>
  <c r="Q376" i="1"/>
  <c r="Q352" i="1"/>
  <c r="Q328" i="1"/>
  <c r="Q304" i="1"/>
  <c r="Q280" i="1"/>
  <c r="Q256" i="1"/>
  <c r="Q232" i="1"/>
  <c r="Q208" i="1"/>
  <c r="Q184" i="1"/>
  <c r="Q160" i="1"/>
  <c r="Q136" i="1"/>
  <c r="Q112" i="1"/>
  <c r="Q88" i="1"/>
  <c r="Q64" i="1"/>
  <c r="Q40" i="1"/>
  <c r="Q16" i="1"/>
  <c r="Q759" i="1"/>
  <c r="Q639" i="1"/>
  <c r="Q471" i="1"/>
  <c r="Q303" i="1"/>
  <c r="Q39" i="1"/>
  <c r="Q687" i="1"/>
  <c r="Q543" i="1"/>
  <c r="Q375" i="1"/>
  <c r="Q183" i="1"/>
  <c r="Q15" i="1"/>
  <c r="Q363" i="1"/>
  <c r="Q758" i="1"/>
  <c r="Q423" i="1"/>
  <c r="Q207" i="1"/>
  <c r="Q663" i="1"/>
  <c r="Q495" i="1"/>
  <c r="Q351" i="1"/>
  <c r="Q159" i="1"/>
  <c r="Q662" i="1"/>
  <c r="Q396" i="1"/>
  <c r="Q615" i="1"/>
  <c r="Q447" i="1"/>
  <c r="Q279" i="1"/>
  <c r="Q111" i="1"/>
  <c r="Q2" i="1"/>
  <c r="Q590" i="1"/>
  <c r="Q707" i="1"/>
  <c r="Q710" i="1"/>
  <c r="Q468" i="1"/>
  <c r="Q519" i="1"/>
  <c r="Q399" i="1"/>
  <c r="Q231" i="1"/>
  <c r="Q87" i="1"/>
  <c r="Q734" i="1"/>
  <c r="Q614" i="1"/>
  <c r="Q777" i="1"/>
  <c r="Q753" i="1"/>
  <c r="Q729" i="1"/>
  <c r="Q705" i="1"/>
  <c r="Q681" i="1"/>
  <c r="Q657" i="1"/>
  <c r="Q633" i="1"/>
  <c r="Q609" i="1"/>
  <c r="Q585" i="1"/>
  <c r="Q561" i="1"/>
  <c r="Q537" i="1"/>
  <c r="Q513" i="1"/>
  <c r="Q489" i="1"/>
  <c r="Q465" i="1"/>
  <c r="Q441" i="1"/>
  <c r="Q417" i="1"/>
  <c r="Q393" i="1"/>
  <c r="Q369" i="1"/>
  <c r="Q345" i="1"/>
  <c r="Q321" i="1"/>
  <c r="Q297" i="1"/>
  <c r="Q273" i="1"/>
  <c r="Q249" i="1"/>
  <c r="Q225" i="1"/>
  <c r="Q201" i="1"/>
  <c r="Q177" i="1"/>
  <c r="Q153" i="1"/>
  <c r="Q129" i="1"/>
  <c r="Q105" i="1"/>
  <c r="Q81" i="1"/>
  <c r="Q57" i="1"/>
  <c r="Q33" i="1"/>
  <c r="Q9" i="1"/>
  <c r="Q735" i="1"/>
  <c r="Q591" i="1"/>
  <c r="Q327" i="1"/>
  <c r="Q135" i="1"/>
  <c r="Q638" i="1"/>
  <c r="Q776" i="1"/>
  <c r="Q752" i="1"/>
  <c r="Q728" i="1"/>
  <c r="Q704" i="1"/>
  <c r="Q680" i="1"/>
  <c r="Q656" i="1"/>
  <c r="Q632" i="1"/>
  <c r="Q584" i="1"/>
  <c r="Q560" i="1"/>
  <c r="Q536" i="1"/>
  <c r="Q512" i="1"/>
  <c r="Q488" i="1"/>
  <c r="Q464" i="1"/>
  <c r="Q440" i="1"/>
  <c r="Q416" i="1"/>
  <c r="Q392" i="1"/>
  <c r="Q368" i="1"/>
  <c r="Q344" i="1"/>
  <c r="Q320" i="1"/>
  <c r="Q296" i="1"/>
  <c r="Q272" i="1"/>
  <c r="Q248" i="1"/>
  <c r="Q224" i="1"/>
  <c r="Q200" i="1"/>
  <c r="Q176" i="1"/>
  <c r="Q152" i="1"/>
  <c r="Q128" i="1"/>
  <c r="Q80" i="1"/>
  <c r="Q56" i="1"/>
  <c r="Q8" i="1"/>
  <c r="Q711" i="1"/>
  <c r="Q567" i="1"/>
  <c r="Q255" i="1"/>
  <c r="Q63" i="1"/>
  <c r="Q686" i="1"/>
  <c r="Q774" i="1"/>
  <c r="Q750" i="1"/>
  <c r="Q726" i="1"/>
  <c r="Q702" i="1"/>
  <c r="Q678" i="1"/>
  <c r="Q654" i="1"/>
  <c r="Q630" i="1"/>
  <c r="Q606" i="1"/>
  <c r="Q582" i="1"/>
  <c r="Q534" i="1"/>
  <c r="Q510" i="1"/>
  <c r="Q486" i="1"/>
  <c r="Q462" i="1"/>
  <c r="Q438" i="1"/>
  <c r="Q414" i="1"/>
  <c r="Q390" i="1"/>
  <c r="Q366" i="1"/>
  <c r="Q342" i="1"/>
  <c r="Q318" i="1"/>
  <c r="Q270" i="1"/>
  <c r="Q246" i="1"/>
  <c r="Q222" i="1"/>
  <c r="Q198" i="1"/>
  <c r="Q174" i="1"/>
  <c r="Q150" i="1"/>
  <c r="Q126" i="1"/>
  <c r="Q102" i="1"/>
  <c r="Q78" i="1"/>
  <c r="Q54" i="1"/>
  <c r="Q30" i="1"/>
  <c r="Q6" i="1"/>
  <c r="Q780" i="1"/>
  <c r="Q756" i="1"/>
  <c r="Q732" i="1"/>
  <c r="Q708" i="1"/>
  <c r="Q684" i="1"/>
  <c r="Q660" i="1"/>
  <c r="Q636" i="1"/>
  <c r="Q612" i="1"/>
  <c r="Q588" i="1"/>
  <c r="Q564" i="1"/>
  <c r="Q540" i="1"/>
  <c r="Q516" i="1"/>
  <c r="Q492" i="1"/>
  <c r="Q444" i="1"/>
  <c r="Q420" i="1"/>
  <c r="Q372" i="1"/>
  <c r="Q348" i="1"/>
  <c r="Q324" i="1"/>
  <c r="Q300" i="1"/>
  <c r="Q276" i="1"/>
  <c r="Q252" i="1"/>
  <c r="Q228" i="1"/>
  <c r="Q204" i="1"/>
  <c r="Q180" i="1"/>
  <c r="Q156" i="1"/>
  <c r="Q132" i="1"/>
  <c r="Q108" i="1"/>
  <c r="Q84" i="1"/>
  <c r="Q60" i="1"/>
  <c r="Q36" i="1"/>
  <c r="Q12" i="1"/>
  <c r="Q779" i="1"/>
  <c r="Q755" i="1"/>
  <c r="Q731" i="1"/>
  <c r="Q683" i="1"/>
  <c r="Q659" i="1"/>
  <c r="Q635" i="1"/>
  <c r="Q611" i="1"/>
  <c r="Q587" i="1"/>
  <c r="Q563" i="1"/>
  <c r="Q539" i="1"/>
  <c r="Q515" i="1"/>
  <c r="Q491" i="1"/>
  <c r="Q467" i="1"/>
  <c r="Q443" i="1"/>
  <c r="Q419" i="1"/>
  <c r="Q371" i="1"/>
  <c r="Q347" i="1"/>
  <c r="Q323" i="1"/>
  <c r="Q299" i="1"/>
  <c r="Q275" i="1"/>
  <c r="Q251" i="1"/>
  <c r="Q227" i="1"/>
  <c r="Q203" i="1"/>
  <c r="Q155" i="1"/>
  <c r="Q131" i="1"/>
  <c r="Q83" i="1"/>
  <c r="Q59" i="1"/>
  <c r="Q35" i="1"/>
  <c r="Q11" i="1"/>
  <c r="Q418" i="1"/>
  <c r="Q394" i="1"/>
  <c r="Q370" i="1"/>
  <c r="Q346" i="1"/>
  <c r="Q322" i="1"/>
  <c r="Q298" i="1"/>
  <c r="Q274" i="1"/>
  <c r="Q250" i="1"/>
  <c r="Q226" i="1"/>
  <c r="Q202" i="1"/>
  <c r="Q178" i="1"/>
  <c r="Q154" i="1"/>
  <c r="Q130" i="1"/>
  <c r="Q106" i="1"/>
  <c r="Q82" i="1"/>
  <c r="Q58" i="1"/>
  <c r="Q34" i="1"/>
  <c r="Q10" i="1"/>
  <c r="Q775" i="1"/>
  <c r="Q559" i="1"/>
  <c r="Q511" i="1"/>
  <c r="Q247" i="1"/>
  <c r="Q223" i="1"/>
  <c r="Q199" i="1"/>
  <c r="Q151" i="1"/>
  <c r="Q127" i="1"/>
  <c r="Q79" i="1"/>
  <c r="Q7" i="1"/>
  <c r="Q583" i="1"/>
  <c r="Q271" i="1"/>
  <c r="Q487" i="1"/>
  <c r="Q295" i="1"/>
  <c r="Q772" i="1"/>
  <c r="Q748" i="1"/>
  <c r="Q724" i="1"/>
  <c r="Q700" i="1"/>
  <c r="Q676" i="1"/>
  <c r="Q652" i="1"/>
  <c r="Q628" i="1"/>
  <c r="Q604" i="1"/>
  <c r="Q580" i="1"/>
  <c r="Q556" i="1"/>
  <c r="Q508" i="1"/>
  <c r="Q484" i="1"/>
  <c r="Q436" i="1"/>
  <c r="Q412" i="1"/>
  <c r="Q388" i="1"/>
  <c r="Q364" i="1"/>
  <c r="Q340" i="1"/>
  <c r="Q292" i="1"/>
  <c r="Q268" i="1"/>
  <c r="Q244" i="1"/>
  <c r="Q220" i="1"/>
  <c r="Q196" i="1"/>
  <c r="Q172" i="1"/>
  <c r="Q148" i="1"/>
  <c r="Q124" i="1"/>
  <c r="Q100" i="1"/>
  <c r="Q76" i="1"/>
  <c r="Q52" i="1"/>
  <c r="Q28" i="1"/>
  <c r="Q4" i="1"/>
  <c r="Q367" i="1"/>
  <c r="Q723" i="1"/>
  <c r="Q651" i="1"/>
  <c r="Q555" i="1"/>
  <c r="Q459" i="1"/>
  <c r="Q387" i="1"/>
  <c r="Q75" i="1"/>
  <c r="Q655" i="1"/>
  <c r="Q343" i="1"/>
  <c r="Q603" i="1"/>
  <c r="Q531" i="1"/>
  <c r="Q483" i="1"/>
  <c r="Q411" i="1"/>
  <c r="Q339" i="1"/>
  <c r="Q267" i="1"/>
  <c r="Q195" i="1"/>
  <c r="Q123" i="1"/>
  <c r="Q3" i="1"/>
  <c r="Q770" i="1"/>
  <c r="Q746" i="1"/>
  <c r="Q722" i="1"/>
  <c r="Q698" i="1"/>
  <c r="Q674" i="1"/>
  <c r="Q650" i="1"/>
  <c r="Q626" i="1"/>
  <c r="Q602" i="1"/>
  <c r="Q578" i="1"/>
  <c r="Q554" i="1"/>
  <c r="Q530" i="1"/>
  <c r="Q506" i="1"/>
  <c r="Q482" i="1"/>
  <c r="Q458" i="1"/>
  <c r="Q434" i="1"/>
  <c r="Q410" i="1"/>
  <c r="Q386" i="1"/>
  <c r="Q362" i="1"/>
  <c r="Q338" i="1"/>
  <c r="Q314" i="1"/>
  <c r="Q290" i="1"/>
  <c r="Q266" i="1"/>
  <c r="Q242" i="1"/>
  <c r="Q218" i="1"/>
  <c r="Q194" i="1"/>
  <c r="Q170" i="1"/>
  <c r="Q146" i="1"/>
  <c r="Q122" i="1"/>
  <c r="Q98" i="1"/>
  <c r="Q74" i="1"/>
  <c r="Q50" i="1"/>
  <c r="Q26" i="1"/>
  <c r="Q631" i="1"/>
  <c r="Q319" i="1"/>
  <c r="Q771" i="1"/>
  <c r="Q699" i="1"/>
  <c r="Q579" i="1"/>
  <c r="Q507" i="1"/>
  <c r="Q435" i="1"/>
  <c r="Q291" i="1"/>
  <c r="Q219" i="1"/>
  <c r="Q147" i="1"/>
  <c r="Q99" i="1"/>
  <c r="Q27" i="1"/>
  <c r="Q721" i="1"/>
  <c r="Q673" i="1"/>
  <c r="Q649" i="1"/>
  <c r="Q601" i="1"/>
  <c r="Q577" i="1"/>
  <c r="Q529" i="1"/>
  <c r="Q505" i="1"/>
  <c r="Q481" i="1"/>
  <c r="Q433" i="1"/>
  <c r="Q409" i="1"/>
  <c r="Q361" i="1"/>
  <c r="Q337" i="1"/>
  <c r="Q313" i="1"/>
  <c r="Q289" i="1"/>
  <c r="Q265" i="1"/>
  <c r="Q241" i="1"/>
  <c r="Q217" i="1"/>
  <c r="Q193" i="1"/>
  <c r="Q169" i="1"/>
  <c r="Q121" i="1"/>
  <c r="Q97" i="1"/>
  <c r="Q25" i="1"/>
  <c r="Q751" i="1"/>
  <c r="Q463" i="1"/>
  <c r="Q535" i="1"/>
  <c r="Q727" i="1"/>
  <c r="Q415" i="1"/>
  <c r="Q703" i="1"/>
  <c r="Q741" i="1"/>
  <c r="Q693" i="1"/>
  <c r="Q645" i="1"/>
  <c r="Q573" i="1"/>
  <c r="Q525" i="1"/>
  <c r="Q477" i="1"/>
  <c r="Q429" i="1"/>
  <c r="Q381" i="1"/>
  <c r="Q333" i="1"/>
  <c r="Q285" i="1"/>
  <c r="Q237" i="1"/>
  <c r="Q189" i="1"/>
  <c r="Q141" i="1"/>
  <c r="Q93" i="1"/>
  <c r="Q45" i="1"/>
  <c r="Q679" i="1"/>
  <c r="Q765" i="1"/>
  <c r="Q717" i="1"/>
  <c r="Q669" i="1"/>
  <c r="Q621" i="1"/>
  <c r="Q597" i="1"/>
  <c r="Q549" i="1"/>
  <c r="Q501" i="1"/>
  <c r="Q453" i="1"/>
  <c r="Q405" i="1"/>
  <c r="Q357" i="1"/>
  <c r="Q309" i="1"/>
  <c r="Q261" i="1"/>
  <c r="Q213" i="1"/>
  <c r="Q165" i="1"/>
  <c r="Q117" i="1"/>
  <c r="Q69" i="1"/>
  <c r="Q21" i="1"/>
  <c r="Q738" i="1"/>
  <c r="Q690" i="1"/>
  <c r="Q642" i="1"/>
  <c r="Q594" i="1"/>
  <c r="Q546" i="1"/>
  <c r="Q498" i="1"/>
  <c r="Q450" i="1"/>
  <c r="Q426" i="1"/>
  <c r="Q378" i="1"/>
  <c r="Q330" i="1"/>
  <c r="Q282" i="1"/>
  <c r="Q234" i="1"/>
  <c r="Q186" i="1"/>
  <c r="Q138" i="1"/>
  <c r="Q66" i="1"/>
  <c r="Q18" i="1"/>
  <c r="Q714" i="1"/>
  <c r="Q666" i="1"/>
  <c r="Q618" i="1"/>
  <c r="Q570" i="1"/>
  <c r="Q522" i="1"/>
  <c r="Q474" i="1"/>
  <c r="Q402" i="1"/>
  <c r="Q354" i="1"/>
  <c r="Q306" i="1"/>
  <c r="Q258" i="1"/>
  <c r="Q210" i="1"/>
  <c r="Q162" i="1"/>
  <c r="Q114" i="1"/>
  <c r="Q90" i="1"/>
  <c r="Q42" i="1"/>
  <c r="Q761" i="1"/>
  <c r="Q737" i="1"/>
  <c r="Q713" i="1"/>
  <c r="Q689" i="1"/>
  <c r="Q665" i="1"/>
  <c r="Q641" i="1"/>
  <c r="Q617" i="1"/>
  <c r="Q593" i="1"/>
  <c r="Q569" i="1"/>
  <c r="Q545" i="1"/>
  <c r="Q521" i="1"/>
  <c r="Q497" i="1"/>
  <c r="Q473" i="1"/>
  <c r="Q449" i="1"/>
  <c r="Q425" i="1"/>
  <c r="Q401" i="1"/>
  <c r="Q377" i="1"/>
  <c r="Q353" i="1"/>
  <c r="Q329" i="1"/>
  <c r="Q305" i="1"/>
  <c r="Q281" i="1"/>
  <c r="Q257" i="1"/>
  <c r="Q233" i="1"/>
  <c r="Q209" i="1"/>
  <c r="Q185" i="1"/>
  <c r="Q161" i="1"/>
  <c r="Q137" i="1"/>
  <c r="Q113" i="1"/>
  <c r="Q89" i="1"/>
  <c r="Q65" i="1"/>
  <c r="Q41" i="1"/>
  <c r="Q17" i="1"/>
</calcChain>
</file>

<file path=xl/sharedStrings.xml><?xml version="1.0" encoding="utf-8"?>
<sst xmlns="http://schemas.openxmlformats.org/spreadsheetml/2006/main" count="4701" uniqueCount="91">
  <si>
    <t>ID</t>
  </si>
  <si>
    <t>Year</t>
  </si>
  <si>
    <t>Team</t>
  </si>
  <si>
    <t>Team Abbreviation</t>
  </si>
  <si>
    <t>League</t>
  </si>
  <si>
    <t>Division</t>
  </si>
  <si>
    <t>Payroll</t>
  </si>
  <si>
    <t>Wins</t>
  </si>
  <si>
    <t>Losses</t>
  </si>
  <si>
    <t>World Series Win</t>
  </si>
  <si>
    <t>Cost per WAR</t>
  </si>
  <si>
    <t>Cost per Win</t>
  </si>
  <si>
    <t>Payroll Rank</t>
  </si>
  <si>
    <t>Win Rank</t>
  </si>
  <si>
    <t>Overperformance Score</t>
  </si>
  <si>
    <t>Arizona Diamondbacks</t>
  </si>
  <si>
    <t>ARI</t>
  </si>
  <si>
    <t>National</t>
  </si>
  <si>
    <t>NL West</t>
  </si>
  <si>
    <t>No</t>
  </si>
  <si>
    <t>Yes</t>
  </si>
  <si>
    <t>Atlanta Braves</t>
  </si>
  <si>
    <t>ATL</t>
  </si>
  <si>
    <t>NL East</t>
  </si>
  <si>
    <t>Baltimore Orioles</t>
  </si>
  <si>
    <t>BAL</t>
  </si>
  <si>
    <t>American</t>
  </si>
  <si>
    <t>AL East</t>
  </si>
  <si>
    <t>Boston Red Sox</t>
  </si>
  <si>
    <t>BOS</t>
  </si>
  <si>
    <t>Chicago Cubs</t>
  </si>
  <si>
    <t>CHC</t>
  </si>
  <si>
    <t>NL Central</t>
  </si>
  <si>
    <t>Chicago White Sox</t>
  </si>
  <si>
    <t>CHW</t>
  </si>
  <si>
    <t>AL Central</t>
  </si>
  <si>
    <t>Cincinnati Reds</t>
  </si>
  <si>
    <t>CIN</t>
  </si>
  <si>
    <t>Cleveland Guardians</t>
  </si>
  <si>
    <t>CLE</t>
  </si>
  <si>
    <t>Colorado Rockies</t>
  </si>
  <si>
    <t>COL</t>
  </si>
  <si>
    <t>Detroit Tigers</t>
  </si>
  <si>
    <t>DET</t>
  </si>
  <si>
    <t>Houston Astros</t>
  </si>
  <si>
    <t>HOU</t>
  </si>
  <si>
    <t>AL West</t>
  </si>
  <si>
    <t>Kansas City Royals</t>
  </si>
  <si>
    <t>KCR</t>
  </si>
  <si>
    <t>Los Angeles Angels</t>
  </si>
  <si>
    <t>LAA</t>
  </si>
  <si>
    <t>Los Angeles Dodgers</t>
  </si>
  <si>
    <t>LAD</t>
  </si>
  <si>
    <t>Miami Marlins</t>
  </si>
  <si>
    <t>MIA</t>
  </si>
  <si>
    <t>Milwaukee Brewers</t>
  </si>
  <si>
    <t>MIL</t>
  </si>
  <si>
    <t>Minnesota Twins</t>
  </si>
  <si>
    <t>MIN</t>
  </si>
  <si>
    <t>New York Mets</t>
  </si>
  <si>
    <t>NYM</t>
  </si>
  <si>
    <t>New York Yankees</t>
  </si>
  <si>
    <t>NYY</t>
  </si>
  <si>
    <t>Oakland Athletics</t>
  </si>
  <si>
    <t>OAK</t>
  </si>
  <si>
    <t>Philadelphia Phillies</t>
  </si>
  <si>
    <t>PHI</t>
  </si>
  <si>
    <t>Pittsburgh Pirates</t>
  </si>
  <si>
    <t>PIT</t>
  </si>
  <si>
    <t>San Diego Padres</t>
  </si>
  <si>
    <t>SDP</t>
  </si>
  <si>
    <t>San Francisco Giants</t>
  </si>
  <si>
    <t>SFG</t>
  </si>
  <si>
    <t>Seattle Mariners</t>
  </si>
  <si>
    <t>SEA</t>
  </si>
  <si>
    <t>St. Louis Cardinals</t>
  </si>
  <si>
    <t>STL</t>
  </si>
  <si>
    <t>Tampa Bay Rays</t>
  </si>
  <si>
    <t>TBR</t>
  </si>
  <si>
    <t>Texas Rangers</t>
  </si>
  <si>
    <t>TEX</t>
  </si>
  <si>
    <t>Toronto Blue Jays</t>
  </si>
  <si>
    <t>TOR</t>
  </si>
  <si>
    <t>Washington Nationals</t>
  </si>
  <si>
    <t>WSH</t>
  </si>
  <si>
    <t>Postseason Appearance</t>
  </si>
  <si>
    <t>Team WAR</t>
  </si>
  <si>
    <t>Win Percentage</t>
  </si>
  <si>
    <t>Expected Wins</t>
  </si>
  <si>
    <t>Wins Above Expectation</t>
  </si>
  <si>
    <t>Payroll 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</si>
</sst>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0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rgb="FF1F1F1F"/>
      <name val="Google Sans Text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2" borderId="0" xfId="0" applyFont="1" applyFill="1"/>
    <xf numFmtId="0" fontId="5" fillId="0" borderId="0" xfId="0" applyFont="1" applyAlignment="1">
      <alignment horizontal="right" wrapText="1"/>
    </xf>
    <xf numFmtId="164" fontId="0" fillId="0" borderId="0" xfId="1" applyNumberFormat="1" applyFont="1"/>
    <xf numFmtId="2" fontId="0" fillId="0" borderId="0" xfId="0" applyNumberFormat="1"/>
    <xf numFmtId="1" fontId="0" fillId="0" borderId="0" xfId="0" applyNumberFormat="1"/>
    <xf numFmtId="2" fontId="2" fillId="0" borderId="0" xfId="0" applyNumberFormat="1" applyFont="1" applyAlignment="1">
      <alignment horizontal="right"/>
    </xf>
    <xf numFmtId="2" fontId="1" fillId="0" borderId="0" xfId="0" applyNumberFormat="1" applyFont="1"/>
    <xf numFmtId="2" fontId="3" fillId="0" borderId="0" xfId="0" applyNumberFormat="1" applyFont="1"/>
    <xf numFmtId="2" fontId="4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0CCD-F167-4CAE-B54F-2F29DEFBF70C}">
  <dimension ref="A1:U787"/>
  <sheetViews>
    <sheetView tabSelected="1" workbookViewId="0">
      <selection activeCell="V1" sqref="V1:V1048576"/>
    </sheetView>
  </sheetViews>
  <sheetFormatPr defaultColWidth="8.85546875" defaultRowHeight="15"/>
  <cols>
    <col min="1" max="1" width="7.42578125" customWidth="1"/>
    <col min="2" max="2" width="13.28515625" customWidth="1"/>
    <col min="3" max="3" width="26.85546875" customWidth="1"/>
    <col min="4" max="4" width="21.7109375" customWidth="1"/>
    <col min="5" max="5" width="13.140625" customWidth="1"/>
    <col min="6" max="6" width="13.85546875" customWidth="1"/>
    <col min="7" max="7" width="16" style="7" customWidth="1"/>
    <col min="8" max="8" width="8.7109375" customWidth="1"/>
    <col min="9" max="9" width="9.7109375" customWidth="1"/>
    <col min="10" max="10" width="14.42578125" customWidth="1"/>
    <col min="11" max="11" width="25" bestFit="1" customWidth="1"/>
    <col min="12" max="12" width="18.42578125" customWidth="1"/>
    <col min="13" max="13" width="16.42578125" style="7" customWidth="1"/>
    <col min="14" max="14" width="15" style="7" customWidth="1"/>
    <col min="15" max="15" width="16.42578125" customWidth="1"/>
    <col min="16" max="16" width="14.140625" customWidth="1"/>
    <col min="17" max="17" width="30.42578125" customWidth="1"/>
    <col min="18" max="18" width="14.7109375" bestFit="1" customWidth="1"/>
    <col min="19" max="19" width="13.7109375" bestFit="1" customWidth="1"/>
    <col min="20" max="20" width="22.140625" bestFit="1" customWidth="1"/>
    <col min="21" max="21" width="10.85546875" bestFit="1" customWidth="1"/>
  </cols>
  <sheetData>
    <row r="1" spans="1:21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6</v>
      </c>
      <c r="H1" s="1" t="s">
        <v>7</v>
      </c>
      <c r="I1" s="1" t="s">
        <v>8</v>
      </c>
      <c r="J1" s="1" t="s">
        <v>86</v>
      </c>
      <c r="K1" s="1" t="s">
        <v>85</v>
      </c>
      <c r="L1" s="1" t="s">
        <v>9</v>
      </c>
      <c r="M1" s="10" t="s">
        <v>10</v>
      </c>
      <c r="N1" s="10" t="s">
        <v>11</v>
      </c>
      <c r="O1" s="1" t="s">
        <v>12</v>
      </c>
      <c r="P1" s="1" t="s">
        <v>13</v>
      </c>
      <c r="Q1" s="1" t="s">
        <v>14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s="1">
        <v>495</v>
      </c>
      <c r="B2" s="2">
        <v>2000</v>
      </c>
      <c r="C2" s="1" t="s">
        <v>63</v>
      </c>
      <c r="D2" s="1" t="s">
        <v>64</v>
      </c>
      <c r="E2" s="1" t="s">
        <v>26</v>
      </c>
      <c r="F2" s="1" t="s">
        <v>46</v>
      </c>
      <c r="G2" s="9">
        <v>92938260</v>
      </c>
      <c r="H2" s="1">
        <v>91</v>
      </c>
      <c r="I2" s="1">
        <v>70</v>
      </c>
      <c r="J2" s="1">
        <v>38.9</v>
      </c>
      <c r="K2" s="1" t="s">
        <v>20</v>
      </c>
      <c r="L2" s="1" t="s">
        <v>19</v>
      </c>
      <c r="M2" s="10">
        <f t="shared" ref="M2:M65" si="0">G2/J2</f>
        <v>2389158.3547557839</v>
      </c>
      <c r="N2" s="10">
        <f t="shared" ref="N2:N65" si="1">G2/H2</f>
        <v>1021299.5604395604</v>
      </c>
      <c r="O2" s="1">
        <f>COUNTIFS($B$2:$B$1000, B2, $G$2:$G$1000, "&gt;"&amp;G2) + 1</f>
        <v>1</v>
      </c>
      <c r="P2" s="1">
        <f>COUNTIFS($B$2:$B$1000, B2, $H$2:$H$1000, "&gt;"&amp;H2) + 1</f>
        <v>6</v>
      </c>
      <c r="Q2" s="1">
        <f>O2-P2</f>
        <v>-5</v>
      </c>
      <c r="R2" s="6">
        <f>H2/(H2+I2)</f>
        <v>0.56521739130434778</v>
      </c>
      <c r="S2" s="8">
        <f>_xlfn.FORECAST.LINEAR(G2, $H$2:$H$781, $G$2:$G$781)</f>
        <v>78.01328036690883</v>
      </c>
      <c r="T2" s="8">
        <f>H2-S2</f>
        <v>12.98671963309117</v>
      </c>
      <c r="U2" t="str">
        <f>IF(G2&lt;80000000,"Low",
 IF(G2&lt;150000000,"Mid","High"))</f>
        <v>Mid</v>
      </c>
    </row>
    <row r="3" spans="1:21">
      <c r="A3" s="1">
        <v>365</v>
      </c>
      <c r="B3" s="2">
        <v>2000</v>
      </c>
      <c r="C3" s="1" t="s">
        <v>53</v>
      </c>
      <c r="D3" s="1" t="s">
        <v>54</v>
      </c>
      <c r="E3" s="1" t="s">
        <v>17</v>
      </c>
      <c r="F3" s="1" t="s">
        <v>23</v>
      </c>
      <c r="G3" s="9">
        <v>90725953</v>
      </c>
      <c r="H3" s="1">
        <v>79</v>
      </c>
      <c r="I3" s="1">
        <v>82</v>
      </c>
      <c r="J3" s="1">
        <v>39.5</v>
      </c>
      <c r="K3" s="1" t="s">
        <v>19</v>
      </c>
      <c r="L3" s="1" t="s">
        <v>19</v>
      </c>
      <c r="M3" s="10">
        <f t="shared" si="0"/>
        <v>2296859.5696202531</v>
      </c>
      <c r="N3" s="10">
        <f t="shared" si="1"/>
        <v>1148429.7848101265</v>
      </c>
      <c r="O3" s="1">
        <f t="shared" ref="O3:O66" si="2">COUNTIFS($B$2:$B$1000, B3, $G$2:$G$1000, "&gt;"&amp;G3) + 1</f>
        <v>2</v>
      </c>
      <c r="P3" s="1">
        <f t="shared" ref="P3:P66" si="3">COUNTIFS($B$2:$B$1000, B3, $H$2:$H$1000, "&gt;"&amp;H3) + 1</f>
        <v>17</v>
      </c>
      <c r="Q3" s="1">
        <f t="shared" ref="Q3:Q66" si="4">O3-P3</f>
        <v>-15</v>
      </c>
      <c r="R3" s="6">
        <f t="shared" ref="R3:R66" si="5">H3/(H3+I3)</f>
        <v>0.49068322981366458</v>
      </c>
      <c r="S3" s="8">
        <f t="shared" ref="S3:S66" si="6">_xlfn.FORECAST.LINEAR(G3, $H$2:$H$781, $G$2:$G$781)</f>
        <v>77.820134759951316</v>
      </c>
      <c r="T3" s="8">
        <f t="shared" ref="T3:T66" si="7">H3-S3</f>
        <v>1.1798652400486844</v>
      </c>
      <c r="U3" t="str">
        <f t="shared" ref="U3:U66" si="8">IF(G3&lt;80000000,"Low",
 IF(G3&lt;150000000,"Mid","High"))</f>
        <v>Mid</v>
      </c>
    </row>
    <row r="4" spans="1:21">
      <c r="A4" s="1">
        <v>53</v>
      </c>
      <c r="B4" s="2">
        <v>2000</v>
      </c>
      <c r="C4" s="1" t="s">
        <v>24</v>
      </c>
      <c r="D4" s="1" t="s">
        <v>25</v>
      </c>
      <c r="E4" s="1" t="s">
        <v>26</v>
      </c>
      <c r="F4" s="1" t="s">
        <v>27</v>
      </c>
      <c r="G4" s="9">
        <v>83141198</v>
      </c>
      <c r="H4" s="1">
        <v>74</v>
      </c>
      <c r="I4" s="1">
        <v>88</v>
      </c>
      <c r="J4" s="1">
        <v>29.7</v>
      </c>
      <c r="K4" s="1" t="s">
        <v>19</v>
      </c>
      <c r="L4" s="1" t="s">
        <v>19</v>
      </c>
      <c r="M4" s="10">
        <f t="shared" si="0"/>
        <v>2799366.9360269359</v>
      </c>
      <c r="N4" s="10">
        <f t="shared" si="1"/>
        <v>1123529.7027027027</v>
      </c>
      <c r="O4" s="1">
        <f t="shared" si="2"/>
        <v>3</v>
      </c>
      <c r="P4" s="1">
        <f t="shared" si="3"/>
        <v>21</v>
      </c>
      <c r="Q4" s="1">
        <f t="shared" si="4"/>
        <v>-18</v>
      </c>
      <c r="R4" s="6">
        <f t="shared" si="5"/>
        <v>0.4567901234567901</v>
      </c>
      <c r="S4" s="8">
        <f t="shared" si="6"/>
        <v>77.157947229875674</v>
      </c>
      <c r="T4" s="8">
        <f t="shared" si="7"/>
        <v>-3.1579472298756741</v>
      </c>
      <c r="U4" t="str">
        <f t="shared" si="8"/>
        <v>Mid</v>
      </c>
    </row>
    <row r="5" spans="1:21">
      <c r="A5" s="1">
        <v>27</v>
      </c>
      <c r="B5" s="2">
        <v>2000</v>
      </c>
      <c r="C5" s="1" t="s">
        <v>21</v>
      </c>
      <c r="D5" s="1" t="s">
        <v>22</v>
      </c>
      <c r="E5" s="1" t="s">
        <v>17</v>
      </c>
      <c r="F5" s="1" t="s">
        <v>23</v>
      </c>
      <c r="G5" s="9">
        <v>82732500</v>
      </c>
      <c r="H5" s="1">
        <v>95</v>
      </c>
      <c r="I5" s="1">
        <v>67</v>
      </c>
      <c r="J5" s="1">
        <v>48.2</v>
      </c>
      <c r="K5" s="1" t="s">
        <v>20</v>
      </c>
      <c r="L5" s="1" t="s">
        <v>19</v>
      </c>
      <c r="M5" s="10">
        <f t="shared" si="0"/>
        <v>1716441.9087136928</v>
      </c>
      <c r="N5" s="10">
        <f t="shared" si="1"/>
        <v>870868.42105263157</v>
      </c>
      <c r="O5" s="1">
        <f t="shared" si="2"/>
        <v>4</v>
      </c>
      <c r="P5" s="1">
        <f t="shared" si="3"/>
        <v>2</v>
      </c>
      <c r="Q5" s="1">
        <f t="shared" si="4"/>
        <v>2</v>
      </c>
      <c r="R5" s="6">
        <f t="shared" si="5"/>
        <v>0.5864197530864198</v>
      </c>
      <c r="S5" s="8">
        <f t="shared" si="6"/>
        <v>77.122265824323762</v>
      </c>
      <c r="T5" s="8">
        <f t="shared" si="7"/>
        <v>17.877734175676238</v>
      </c>
      <c r="U5" t="str">
        <f t="shared" si="8"/>
        <v>Mid</v>
      </c>
    </row>
    <row r="6" spans="1:21">
      <c r="A6" s="1">
        <v>79</v>
      </c>
      <c r="B6" s="2">
        <v>2000</v>
      </c>
      <c r="C6" s="1" t="s">
        <v>28</v>
      </c>
      <c r="D6" s="1" t="s">
        <v>29</v>
      </c>
      <c r="E6" s="1" t="s">
        <v>26</v>
      </c>
      <c r="F6" s="1" t="s">
        <v>27</v>
      </c>
      <c r="G6" s="9">
        <v>81210333</v>
      </c>
      <c r="H6" s="1">
        <v>85</v>
      </c>
      <c r="I6" s="1">
        <v>77</v>
      </c>
      <c r="J6" s="1">
        <v>44.9</v>
      </c>
      <c r="K6" s="1" t="s">
        <v>19</v>
      </c>
      <c r="L6" s="1" t="s">
        <v>19</v>
      </c>
      <c r="M6" s="10">
        <f t="shared" si="0"/>
        <v>1808693.3853006682</v>
      </c>
      <c r="N6" s="10">
        <f t="shared" si="1"/>
        <v>955415.68235294113</v>
      </c>
      <c r="O6" s="1">
        <f t="shared" si="2"/>
        <v>5</v>
      </c>
      <c r="P6" s="1">
        <f t="shared" si="3"/>
        <v>11</v>
      </c>
      <c r="Q6" s="1">
        <f t="shared" si="4"/>
        <v>-6</v>
      </c>
      <c r="R6" s="6">
        <f t="shared" si="5"/>
        <v>0.52469135802469136</v>
      </c>
      <c r="S6" s="8">
        <f t="shared" si="6"/>
        <v>76.989372935088369</v>
      </c>
      <c r="T6" s="8">
        <f t="shared" si="7"/>
        <v>8.0106270649116311</v>
      </c>
      <c r="U6" t="str">
        <f t="shared" si="8"/>
        <v>Mid</v>
      </c>
    </row>
    <row r="7" spans="1:21">
      <c r="A7" s="1">
        <v>469</v>
      </c>
      <c r="B7" s="2">
        <v>2000</v>
      </c>
      <c r="C7" s="1" t="s">
        <v>61</v>
      </c>
      <c r="D7" s="1" t="s">
        <v>62</v>
      </c>
      <c r="E7" s="1" t="s">
        <v>26</v>
      </c>
      <c r="F7" s="1" t="s">
        <v>27</v>
      </c>
      <c r="G7" s="9">
        <v>79759762</v>
      </c>
      <c r="H7" s="1">
        <v>87</v>
      </c>
      <c r="I7" s="1">
        <v>74</v>
      </c>
      <c r="J7" s="1">
        <v>41.7</v>
      </c>
      <c r="K7" s="1" t="s">
        <v>20</v>
      </c>
      <c r="L7" s="1" t="s">
        <v>20</v>
      </c>
      <c r="M7" s="10">
        <f t="shared" si="0"/>
        <v>1912704.1247002396</v>
      </c>
      <c r="N7" s="10">
        <f t="shared" si="1"/>
        <v>916778.8735632184</v>
      </c>
      <c r="O7" s="1">
        <f t="shared" si="2"/>
        <v>6</v>
      </c>
      <c r="P7" s="1">
        <f t="shared" si="3"/>
        <v>9</v>
      </c>
      <c r="Q7" s="1">
        <f t="shared" si="4"/>
        <v>-3</v>
      </c>
      <c r="R7" s="6">
        <f t="shared" si="5"/>
        <v>0.54037267080745344</v>
      </c>
      <c r="S7" s="8">
        <f t="shared" si="6"/>
        <v>76.862730739303615</v>
      </c>
      <c r="T7" s="8">
        <f t="shared" si="7"/>
        <v>10.137269260696385</v>
      </c>
      <c r="U7" t="str">
        <f t="shared" si="8"/>
        <v>Low</v>
      </c>
    </row>
    <row r="8" spans="1:21">
      <c r="A8" s="1">
        <v>1</v>
      </c>
      <c r="B8" s="2">
        <v>2000</v>
      </c>
      <c r="C8" s="1" t="s">
        <v>15</v>
      </c>
      <c r="D8" s="1" t="s">
        <v>16</v>
      </c>
      <c r="E8" s="1" t="s">
        <v>17</v>
      </c>
      <c r="F8" s="1" t="s">
        <v>18</v>
      </c>
      <c r="G8" s="9">
        <v>77880333</v>
      </c>
      <c r="H8" s="1">
        <v>85</v>
      </c>
      <c r="I8" s="1">
        <v>77</v>
      </c>
      <c r="J8" s="1">
        <v>47.6</v>
      </c>
      <c r="K8" s="1" t="s">
        <v>19</v>
      </c>
      <c r="L8" s="1" t="s">
        <v>19</v>
      </c>
      <c r="M8" s="10">
        <f t="shared" si="0"/>
        <v>1636141.4495798319</v>
      </c>
      <c r="N8" s="10">
        <f t="shared" si="1"/>
        <v>916239.21176470583</v>
      </c>
      <c r="O8" s="1">
        <f t="shared" si="2"/>
        <v>7</v>
      </c>
      <c r="P8" s="1">
        <f t="shared" si="3"/>
        <v>11</v>
      </c>
      <c r="Q8" s="1">
        <f t="shared" si="4"/>
        <v>-4</v>
      </c>
      <c r="R8" s="6">
        <f t="shared" si="5"/>
        <v>0.52469135802469136</v>
      </c>
      <c r="S8" s="8">
        <f t="shared" si="6"/>
        <v>76.698647067851809</v>
      </c>
      <c r="T8" s="8">
        <f t="shared" si="7"/>
        <v>8.3013529321481911</v>
      </c>
      <c r="U8" t="str">
        <f t="shared" si="8"/>
        <v>Low</v>
      </c>
    </row>
    <row r="9" spans="1:21">
      <c r="A9" s="1">
        <v>183</v>
      </c>
      <c r="B9" s="2">
        <v>2000</v>
      </c>
      <c r="C9" s="1" t="s">
        <v>38</v>
      </c>
      <c r="D9" s="1" t="s">
        <v>39</v>
      </c>
      <c r="E9" s="1" t="s">
        <v>26</v>
      </c>
      <c r="F9" s="1" t="s">
        <v>35</v>
      </c>
      <c r="G9" s="9">
        <v>76508334</v>
      </c>
      <c r="H9" s="1">
        <v>90</v>
      </c>
      <c r="I9" s="1">
        <v>72</v>
      </c>
      <c r="J9" s="1">
        <v>45.4</v>
      </c>
      <c r="K9" s="1" t="s">
        <v>19</v>
      </c>
      <c r="L9" s="1" t="s">
        <v>19</v>
      </c>
      <c r="M9" s="10">
        <f t="shared" si="0"/>
        <v>1685205.5947136565</v>
      </c>
      <c r="N9" s="10">
        <f t="shared" si="1"/>
        <v>850092.6</v>
      </c>
      <c r="O9" s="1">
        <f t="shared" si="2"/>
        <v>8</v>
      </c>
      <c r="P9" s="1">
        <f t="shared" si="3"/>
        <v>8</v>
      </c>
      <c r="Q9" s="1">
        <f t="shared" si="4"/>
        <v>0</v>
      </c>
      <c r="R9" s="6">
        <f t="shared" si="5"/>
        <v>0.55555555555555558</v>
      </c>
      <c r="S9" s="8">
        <f t="shared" si="6"/>
        <v>76.578864605652797</v>
      </c>
      <c r="T9" s="8">
        <f t="shared" si="7"/>
        <v>13.421135394347203</v>
      </c>
      <c r="U9" t="str">
        <f t="shared" si="8"/>
        <v>Low</v>
      </c>
    </row>
    <row r="10" spans="1:21">
      <c r="A10" s="1">
        <v>729</v>
      </c>
      <c r="B10" s="2">
        <v>2000</v>
      </c>
      <c r="C10" s="1" t="s">
        <v>81</v>
      </c>
      <c r="D10" s="1" t="s">
        <v>82</v>
      </c>
      <c r="E10" s="1" t="s">
        <v>26</v>
      </c>
      <c r="F10" s="1" t="s">
        <v>27</v>
      </c>
      <c r="G10" s="9">
        <v>70785000</v>
      </c>
      <c r="H10" s="1">
        <v>83</v>
      </c>
      <c r="I10" s="1">
        <v>79</v>
      </c>
      <c r="J10" s="1">
        <v>26.9</v>
      </c>
      <c r="K10" s="1" t="s">
        <v>19</v>
      </c>
      <c r="L10" s="1" t="s">
        <v>19</v>
      </c>
      <c r="M10" s="10">
        <f t="shared" si="0"/>
        <v>2631412.6394052044</v>
      </c>
      <c r="N10" s="10">
        <f t="shared" si="1"/>
        <v>852831.32530120481</v>
      </c>
      <c r="O10" s="1">
        <f t="shared" si="2"/>
        <v>9</v>
      </c>
      <c r="P10" s="1">
        <f t="shared" si="3"/>
        <v>14</v>
      </c>
      <c r="Q10" s="1">
        <f t="shared" si="4"/>
        <v>-5</v>
      </c>
      <c r="R10" s="6">
        <f t="shared" si="5"/>
        <v>0.51234567901234573</v>
      </c>
      <c r="S10" s="8">
        <f t="shared" si="6"/>
        <v>76.079188557414199</v>
      </c>
      <c r="T10" s="8">
        <f t="shared" si="7"/>
        <v>6.9208114425858014</v>
      </c>
      <c r="U10" t="str">
        <f t="shared" si="8"/>
        <v>Low</v>
      </c>
    </row>
    <row r="11" spans="1:21">
      <c r="A11" s="1">
        <v>703</v>
      </c>
      <c r="B11" s="2">
        <v>2000</v>
      </c>
      <c r="C11" s="1" t="s">
        <v>79</v>
      </c>
      <c r="D11" s="1" t="s">
        <v>80</v>
      </c>
      <c r="E11" s="1" t="s">
        <v>26</v>
      </c>
      <c r="F11" s="1" t="s">
        <v>46</v>
      </c>
      <c r="G11" s="9">
        <v>64407910</v>
      </c>
      <c r="H11" s="1">
        <v>71</v>
      </c>
      <c r="I11" s="1">
        <v>91</v>
      </c>
      <c r="J11" s="1">
        <v>24.5</v>
      </c>
      <c r="K11" s="1" t="s">
        <v>19</v>
      </c>
      <c r="L11" s="1" t="s">
        <v>19</v>
      </c>
      <c r="M11" s="10">
        <f t="shared" si="0"/>
        <v>2628894.2857142859</v>
      </c>
      <c r="N11" s="10">
        <f t="shared" si="1"/>
        <v>907153.661971831</v>
      </c>
      <c r="O11" s="1">
        <f t="shared" si="2"/>
        <v>10</v>
      </c>
      <c r="P11" s="1">
        <f t="shared" si="3"/>
        <v>24</v>
      </c>
      <c r="Q11" s="1">
        <f t="shared" si="4"/>
        <v>-14</v>
      </c>
      <c r="R11" s="6">
        <f t="shared" si="5"/>
        <v>0.43827160493827161</v>
      </c>
      <c r="S11" s="8">
        <f t="shared" si="6"/>
        <v>75.522436298947042</v>
      </c>
      <c r="T11" s="8">
        <f t="shared" si="7"/>
        <v>-4.5224362989470421</v>
      </c>
      <c r="U11" t="str">
        <f t="shared" si="8"/>
        <v>Low</v>
      </c>
    </row>
    <row r="12" spans="1:21">
      <c r="A12" s="1">
        <v>209</v>
      </c>
      <c r="B12" s="2">
        <v>2000</v>
      </c>
      <c r="C12" s="1" t="s">
        <v>40</v>
      </c>
      <c r="D12" s="1" t="s">
        <v>41</v>
      </c>
      <c r="E12" s="1" t="s">
        <v>17</v>
      </c>
      <c r="F12" s="1" t="s">
        <v>18</v>
      </c>
      <c r="G12" s="9">
        <v>64130857</v>
      </c>
      <c r="H12" s="1">
        <v>82</v>
      </c>
      <c r="I12" s="1">
        <v>80</v>
      </c>
      <c r="J12" s="1">
        <v>34.799999999999997</v>
      </c>
      <c r="K12" s="1" t="s">
        <v>19</v>
      </c>
      <c r="L12" s="1" t="s">
        <v>19</v>
      </c>
      <c r="M12" s="10">
        <f t="shared" si="0"/>
        <v>1842840.7183908047</v>
      </c>
      <c r="N12" s="10">
        <f t="shared" si="1"/>
        <v>782083.62195121951</v>
      </c>
      <c r="O12" s="1">
        <f t="shared" si="2"/>
        <v>11</v>
      </c>
      <c r="P12" s="1">
        <f t="shared" si="3"/>
        <v>15</v>
      </c>
      <c r="Q12" s="1">
        <f t="shared" si="4"/>
        <v>-4</v>
      </c>
      <c r="R12" s="6">
        <f t="shared" si="5"/>
        <v>0.50617283950617287</v>
      </c>
      <c r="S12" s="8">
        <f t="shared" si="6"/>
        <v>75.498248168708159</v>
      </c>
      <c r="T12" s="8">
        <f t="shared" si="7"/>
        <v>6.5017518312918412</v>
      </c>
      <c r="U12" t="str">
        <f t="shared" si="8"/>
        <v>Low</v>
      </c>
    </row>
    <row r="13" spans="1:21">
      <c r="A13" s="1">
        <v>677</v>
      </c>
      <c r="B13" s="2">
        <v>2000</v>
      </c>
      <c r="C13" s="1" t="s">
        <v>77</v>
      </c>
      <c r="D13" s="1" t="s">
        <v>78</v>
      </c>
      <c r="E13" s="1" t="s">
        <v>26</v>
      </c>
      <c r="F13" s="1" t="s">
        <v>27</v>
      </c>
      <c r="G13" s="9">
        <v>63993023</v>
      </c>
      <c r="H13" s="1">
        <v>69</v>
      </c>
      <c r="I13" s="1">
        <v>92</v>
      </c>
      <c r="J13" s="1">
        <v>45.6</v>
      </c>
      <c r="K13" s="1" t="s">
        <v>19</v>
      </c>
      <c r="L13" s="1" t="s">
        <v>19</v>
      </c>
      <c r="M13" s="10">
        <f t="shared" si="0"/>
        <v>1403355.7675438595</v>
      </c>
      <c r="N13" s="10">
        <f t="shared" si="1"/>
        <v>927435.11594202893</v>
      </c>
      <c r="O13" s="1">
        <f t="shared" si="2"/>
        <v>12</v>
      </c>
      <c r="P13" s="1">
        <f t="shared" si="3"/>
        <v>25</v>
      </c>
      <c r="Q13" s="1">
        <f t="shared" si="4"/>
        <v>-13</v>
      </c>
      <c r="R13" s="6">
        <f t="shared" si="5"/>
        <v>0.42857142857142855</v>
      </c>
      <c r="S13" s="8">
        <f t="shared" si="6"/>
        <v>75.48621456234639</v>
      </c>
      <c r="T13" s="8">
        <f t="shared" si="7"/>
        <v>-6.4862145623463903</v>
      </c>
      <c r="U13" t="str">
        <f t="shared" si="8"/>
        <v>Low</v>
      </c>
    </row>
    <row r="14" spans="1:21">
      <c r="A14" s="1">
        <v>105</v>
      </c>
      <c r="B14" s="2">
        <v>2000</v>
      </c>
      <c r="C14" s="1" t="s">
        <v>30</v>
      </c>
      <c r="D14" s="1" t="s">
        <v>31</v>
      </c>
      <c r="E14" s="1" t="s">
        <v>17</v>
      </c>
      <c r="F14" s="1" t="s">
        <v>32</v>
      </c>
      <c r="G14" s="9">
        <v>62129333</v>
      </c>
      <c r="H14" s="1">
        <v>65</v>
      </c>
      <c r="I14" s="1">
        <v>97</v>
      </c>
      <c r="J14" s="1">
        <v>25.3</v>
      </c>
      <c r="K14" s="1" t="s">
        <v>19</v>
      </c>
      <c r="L14" s="1" t="s">
        <v>19</v>
      </c>
      <c r="M14" s="10">
        <f t="shared" si="0"/>
        <v>2455704.8616600791</v>
      </c>
      <c r="N14" s="10">
        <f t="shared" si="1"/>
        <v>955835.89230769232</v>
      </c>
      <c r="O14" s="1">
        <f t="shared" si="2"/>
        <v>13</v>
      </c>
      <c r="P14" s="1">
        <f t="shared" si="3"/>
        <v>29</v>
      </c>
      <c r="Q14" s="1">
        <f t="shared" si="4"/>
        <v>-16</v>
      </c>
      <c r="R14" s="6">
        <f t="shared" si="5"/>
        <v>0.40123456790123457</v>
      </c>
      <c r="S14" s="8">
        <f t="shared" si="6"/>
        <v>75.323504985316319</v>
      </c>
      <c r="T14" s="8">
        <f t="shared" si="7"/>
        <v>-10.323504985316319</v>
      </c>
      <c r="U14" t="str">
        <f t="shared" si="8"/>
        <v>Low</v>
      </c>
    </row>
    <row r="15" spans="1:21">
      <c r="A15" s="1">
        <v>235</v>
      </c>
      <c r="B15" s="2">
        <v>2000</v>
      </c>
      <c r="C15" s="1" t="s">
        <v>42</v>
      </c>
      <c r="D15" s="1" t="s">
        <v>43</v>
      </c>
      <c r="E15" s="1" t="s">
        <v>26</v>
      </c>
      <c r="F15" s="1" t="s">
        <v>35</v>
      </c>
      <c r="G15" s="9">
        <v>61740167</v>
      </c>
      <c r="H15" s="1">
        <v>79</v>
      </c>
      <c r="I15" s="1">
        <v>83</v>
      </c>
      <c r="J15" s="1">
        <v>32.1</v>
      </c>
      <c r="K15" s="1" t="s">
        <v>19</v>
      </c>
      <c r="L15" s="1" t="s">
        <v>19</v>
      </c>
      <c r="M15" s="10">
        <f t="shared" si="0"/>
        <v>1923369.6884735201</v>
      </c>
      <c r="N15" s="10">
        <f t="shared" si="1"/>
        <v>781521.10126582277</v>
      </c>
      <c r="O15" s="1">
        <f t="shared" si="2"/>
        <v>14</v>
      </c>
      <c r="P15" s="1">
        <f t="shared" si="3"/>
        <v>17</v>
      </c>
      <c r="Q15" s="1">
        <f t="shared" si="4"/>
        <v>-3</v>
      </c>
      <c r="R15" s="6">
        <f t="shared" si="5"/>
        <v>0.48765432098765432</v>
      </c>
      <c r="S15" s="8">
        <f t="shared" si="6"/>
        <v>75.289528822298607</v>
      </c>
      <c r="T15" s="8">
        <f t="shared" si="7"/>
        <v>3.7104711777013932</v>
      </c>
      <c r="U15" t="str">
        <f t="shared" si="8"/>
        <v>Low</v>
      </c>
    </row>
    <row r="16" spans="1:21">
      <c r="A16" s="1">
        <v>651</v>
      </c>
      <c r="B16" s="2">
        <v>2000</v>
      </c>
      <c r="C16" s="1" t="s">
        <v>75</v>
      </c>
      <c r="D16" s="1" t="s">
        <v>76</v>
      </c>
      <c r="E16" s="1" t="s">
        <v>17</v>
      </c>
      <c r="F16" s="1" t="s">
        <v>32</v>
      </c>
      <c r="G16" s="9">
        <v>59215000</v>
      </c>
      <c r="H16" s="1">
        <v>95</v>
      </c>
      <c r="I16" s="1">
        <v>67</v>
      </c>
      <c r="J16" s="1">
        <v>44.1</v>
      </c>
      <c r="K16" s="1" t="s">
        <v>20</v>
      </c>
      <c r="L16" s="1" t="s">
        <v>19</v>
      </c>
      <c r="M16" s="10">
        <f t="shared" si="0"/>
        <v>1342743.7641723356</v>
      </c>
      <c r="N16" s="10">
        <f t="shared" si="1"/>
        <v>623315.78947368416</v>
      </c>
      <c r="O16" s="1">
        <f t="shared" si="2"/>
        <v>15</v>
      </c>
      <c r="P16" s="1">
        <f t="shared" si="3"/>
        <v>2</v>
      </c>
      <c r="Q16" s="1">
        <f t="shared" si="4"/>
        <v>13</v>
      </c>
      <c r="R16" s="6">
        <f t="shared" si="5"/>
        <v>0.5864197530864198</v>
      </c>
      <c r="S16" s="8">
        <f t="shared" si="6"/>
        <v>75.069068952631298</v>
      </c>
      <c r="T16" s="8">
        <f t="shared" si="7"/>
        <v>19.930931047368702</v>
      </c>
      <c r="U16" t="str">
        <f t="shared" si="8"/>
        <v>Low</v>
      </c>
    </row>
    <row r="17" spans="1:21">
      <c r="A17" s="1">
        <v>339</v>
      </c>
      <c r="B17" s="2">
        <v>2000</v>
      </c>
      <c r="C17" s="1" t="s">
        <v>51</v>
      </c>
      <c r="D17" s="1" t="s">
        <v>52</v>
      </c>
      <c r="E17" s="1" t="s">
        <v>17</v>
      </c>
      <c r="F17" s="1" t="s">
        <v>18</v>
      </c>
      <c r="G17" s="9">
        <v>55766667</v>
      </c>
      <c r="H17" s="1">
        <v>86</v>
      </c>
      <c r="I17" s="1">
        <v>76</v>
      </c>
      <c r="J17" s="1">
        <v>42.2</v>
      </c>
      <c r="K17" s="1" t="s">
        <v>19</v>
      </c>
      <c r="L17" s="1" t="s">
        <v>19</v>
      </c>
      <c r="M17" s="10">
        <f t="shared" si="0"/>
        <v>1321485</v>
      </c>
      <c r="N17" s="10">
        <f t="shared" si="1"/>
        <v>648449.6162790698</v>
      </c>
      <c r="O17" s="1">
        <f t="shared" si="2"/>
        <v>16</v>
      </c>
      <c r="P17" s="1">
        <f t="shared" si="3"/>
        <v>10</v>
      </c>
      <c r="Q17" s="1">
        <f t="shared" si="4"/>
        <v>6</v>
      </c>
      <c r="R17" s="6">
        <f t="shared" si="5"/>
        <v>0.53086419753086422</v>
      </c>
      <c r="S17" s="8">
        <f t="shared" si="6"/>
        <v>74.768012015110131</v>
      </c>
      <c r="T17" s="8">
        <f t="shared" si="7"/>
        <v>11.231987984889869</v>
      </c>
      <c r="U17" t="str">
        <f t="shared" si="8"/>
        <v>Low</v>
      </c>
    </row>
    <row r="18" spans="1:21">
      <c r="A18" s="1">
        <v>599</v>
      </c>
      <c r="B18" s="2">
        <v>2000</v>
      </c>
      <c r="C18" s="1" t="s">
        <v>71</v>
      </c>
      <c r="D18" s="1" t="s">
        <v>72</v>
      </c>
      <c r="E18" s="1" t="s">
        <v>17</v>
      </c>
      <c r="F18" s="1" t="s">
        <v>18</v>
      </c>
      <c r="G18" s="9">
        <v>54971000</v>
      </c>
      <c r="H18" s="1">
        <v>97</v>
      </c>
      <c r="I18" s="1">
        <v>65</v>
      </c>
      <c r="J18" s="1">
        <v>28.7</v>
      </c>
      <c r="K18" s="1" t="s">
        <v>20</v>
      </c>
      <c r="L18" s="1" t="s">
        <v>19</v>
      </c>
      <c r="M18" s="10">
        <f t="shared" si="0"/>
        <v>1915365.8536585367</v>
      </c>
      <c r="N18" s="10">
        <f t="shared" si="1"/>
        <v>566711.34020618559</v>
      </c>
      <c r="O18" s="1">
        <f t="shared" si="2"/>
        <v>17</v>
      </c>
      <c r="P18" s="1">
        <f t="shared" si="3"/>
        <v>1</v>
      </c>
      <c r="Q18" s="1">
        <f t="shared" si="4"/>
        <v>16</v>
      </c>
      <c r="R18" s="6">
        <f t="shared" si="5"/>
        <v>0.59876543209876543</v>
      </c>
      <c r="S18" s="8">
        <f t="shared" si="6"/>
        <v>74.698546255768832</v>
      </c>
      <c r="T18" s="8">
        <f t="shared" si="7"/>
        <v>22.301453744231168</v>
      </c>
      <c r="U18" t="str">
        <f t="shared" si="8"/>
        <v>Low</v>
      </c>
    </row>
    <row r="19" spans="1:21">
      <c r="A19" s="1">
        <v>625</v>
      </c>
      <c r="B19" s="2">
        <v>2000</v>
      </c>
      <c r="C19" s="1" t="s">
        <v>73</v>
      </c>
      <c r="D19" s="1" t="s">
        <v>74</v>
      </c>
      <c r="E19" s="1" t="s">
        <v>26</v>
      </c>
      <c r="F19" s="1" t="s">
        <v>46</v>
      </c>
      <c r="G19" s="9">
        <v>53541000</v>
      </c>
      <c r="H19" s="1">
        <v>91</v>
      </c>
      <c r="I19" s="1">
        <v>71</v>
      </c>
      <c r="J19" s="1">
        <v>49.8</v>
      </c>
      <c r="K19" s="1" t="s">
        <v>20</v>
      </c>
      <c r="L19" s="1" t="s">
        <v>19</v>
      </c>
      <c r="M19" s="10">
        <f t="shared" si="0"/>
        <v>1075120.4819277108</v>
      </c>
      <c r="N19" s="10">
        <f t="shared" si="1"/>
        <v>588362.63736263732</v>
      </c>
      <c r="O19" s="1">
        <f t="shared" si="2"/>
        <v>18</v>
      </c>
      <c r="P19" s="1">
        <f t="shared" si="3"/>
        <v>6</v>
      </c>
      <c r="Q19" s="1">
        <f t="shared" si="4"/>
        <v>12</v>
      </c>
      <c r="R19" s="6">
        <f t="shared" si="5"/>
        <v>0.56172839506172845</v>
      </c>
      <c r="S19" s="8">
        <f t="shared" si="6"/>
        <v>74.573700012481069</v>
      </c>
      <c r="T19" s="8">
        <f t="shared" si="7"/>
        <v>16.426299987518931</v>
      </c>
      <c r="U19" t="str">
        <f t="shared" si="8"/>
        <v>Low</v>
      </c>
    </row>
    <row r="20" spans="1:21">
      <c r="A20" s="1">
        <v>287</v>
      </c>
      <c r="B20" s="2">
        <v>2000</v>
      </c>
      <c r="C20" s="1" t="s">
        <v>47</v>
      </c>
      <c r="D20" s="1" t="s">
        <v>48</v>
      </c>
      <c r="E20" s="1" t="s">
        <v>26</v>
      </c>
      <c r="F20" s="1" t="s">
        <v>35</v>
      </c>
      <c r="G20" s="9">
        <v>52356667</v>
      </c>
      <c r="H20" s="1">
        <v>77</v>
      </c>
      <c r="I20" s="1">
        <v>85</v>
      </c>
      <c r="J20" s="1">
        <v>31.9</v>
      </c>
      <c r="K20" s="1" t="s">
        <v>19</v>
      </c>
      <c r="L20" s="1" t="s">
        <v>19</v>
      </c>
      <c r="M20" s="10">
        <f t="shared" si="0"/>
        <v>1641274.8275862071</v>
      </c>
      <c r="N20" s="10">
        <f t="shared" si="1"/>
        <v>679956.71428571432</v>
      </c>
      <c r="O20" s="1">
        <f t="shared" si="2"/>
        <v>19</v>
      </c>
      <c r="P20" s="1">
        <f t="shared" si="3"/>
        <v>19</v>
      </c>
      <c r="Q20" s="1">
        <f t="shared" si="4"/>
        <v>0</v>
      </c>
      <c r="R20" s="6">
        <f t="shared" si="5"/>
        <v>0.47530864197530864</v>
      </c>
      <c r="S20" s="8">
        <f t="shared" si="6"/>
        <v>74.470301742654669</v>
      </c>
      <c r="T20" s="8">
        <f t="shared" si="7"/>
        <v>2.5296982573453306</v>
      </c>
      <c r="U20" t="str">
        <f t="shared" si="8"/>
        <v>Low</v>
      </c>
    </row>
    <row r="21" spans="1:21">
      <c r="A21" s="1">
        <v>547</v>
      </c>
      <c r="B21" s="2">
        <v>2000</v>
      </c>
      <c r="C21" s="1" t="s">
        <v>67</v>
      </c>
      <c r="D21" s="1" t="s">
        <v>68</v>
      </c>
      <c r="E21" s="1" t="s">
        <v>17</v>
      </c>
      <c r="F21" s="1" t="s">
        <v>32</v>
      </c>
      <c r="G21" s="9">
        <v>46947667</v>
      </c>
      <c r="H21" s="1">
        <v>69</v>
      </c>
      <c r="I21" s="1">
        <v>93</v>
      </c>
      <c r="J21" s="1">
        <v>27.8</v>
      </c>
      <c r="K21" s="1" t="s">
        <v>19</v>
      </c>
      <c r="L21" s="1" t="s">
        <v>19</v>
      </c>
      <c r="M21" s="10">
        <f t="shared" si="0"/>
        <v>1688765</v>
      </c>
      <c r="N21" s="10">
        <f t="shared" si="1"/>
        <v>680400.9710144928</v>
      </c>
      <c r="O21" s="1">
        <f t="shared" si="2"/>
        <v>20</v>
      </c>
      <c r="P21" s="1">
        <f t="shared" si="3"/>
        <v>25</v>
      </c>
      <c r="Q21" s="1">
        <f t="shared" si="4"/>
        <v>-5</v>
      </c>
      <c r="R21" s="6">
        <f t="shared" si="5"/>
        <v>0.42592592592592593</v>
      </c>
      <c r="S21" s="8">
        <f t="shared" si="6"/>
        <v>73.998068644792042</v>
      </c>
      <c r="T21" s="8">
        <f t="shared" si="7"/>
        <v>-4.9980686447920419</v>
      </c>
      <c r="U21" t="str">
        <f t="shared" si="8"/>
        <v>Low</v>
      </c>
    </row>
    <row r="22" spans="1:21">
      <c r="A22" s="1">
        <v>755</v>
      </c>
      <c r="B22" s="2">
        <v>2000</v>
      </c>
      <c r="C22" s="1" t="s">
        <v>83</v>
      </c>
      <c r="D22" s="1" t="s">
        <v>84</v>
      </c>
      <c r="E22" s="1" t="s">
        <v>17</v>
      </c>
      <c r="F22" s="1" t="s">
        <v>23</v>
      </c>
      <c r="G22" s="9">
        <v>46363332</v>
      </c>
      <c r="H22" s="1">
        <v>67</v>
      </c>
      <c r="I22" s="1">
        <v>95</v>
      </c>
      <c r="J22" s="1">
        <v>39.700000000000003</v>
      </c>
      <c r="K22" s="1" t="s">
        <v>19</v>
      </c>
      <c r="L22" s="1" t="s">
        <v>19</v>
      </c>
      <c r="M22" s="10">
        <f t="shared" si="0"/>
        <v>1167842.1158690176</v>
      </c>
      <c r="N22" s="10">
        <f t="shared" si="1"/>
        <v>691990.02985074627</v>
      </c>
      <c r="O22" s="1">
        <f t="shared" si="2"/>
        <v>21</v>
      </c>
      <c r="P22" s="1">
        <f t="shared" si="3"/>
        <v>28</v>
      </c>
      <c r="Q22" s="1">
        <f t="shared" si="4"/>
        <v>-7</v>
      </c>
      <c r="R22" s="6">
        <f t="shared" si="5"/>
        <v>0.41358024691358025</v>
      </c>
      <c r="S22" s="8">
        <f t="shared" si="6"/>
        <v>73.947053239497237</v>
      </c>
      <c r="T22" s="8">
        <f t="shared" si="7"/>
        <v>-6.9470532394972366</v>
      </c>
      <c r="U22" t="str">
        <f t="shared" si="8"/>
        <v>Low</v>
      </c>
    </row>
    <row r="23" spans="1:21">
      <c r="A23" s="1">
        <v>157</v>
      </c>
      <c r="B23" s="2">
        <v>2000</v>
      </c>
      <c r="C23" s="1" t="s">
        <v>36</v>
      </c>
      <c r="D23" s="1" t="s">
        <v>37</v>
      </c>
      <c r="E23" s="1" t="s">
        <v>17</v>
      </c>
      <c r="F23" s="1" t="s">
        <v>32</v>
      </c>
      <c r="G23" s="9">
        <v>44217500</v>
      </c>
      <c r="H23" s="1">
        <v>85</v>
      </c>
      <c r="I23" s="1">
        <v>77</v>
      </c>
      <c r="J23" s="1">
        <v>35.200000000000003</v>
      </c>
      <c r="K23" s="1" t="s">
        <v>19</v>
      </c>
      <c r="L23" s="1" t="s">
        <v>19</v>
      </c>
      <c r="M23" s="10">
        <f t="shared" si="0"/>
        <v>1256178.9772727271</v>
      </c>
      <c r="N23" s="10">
        <f t="shared" si="1"/>
        <v>520205.8823529412</v>
      </c>
      <c r="O23" s="1">
        <f t="shared" si="2"/>
        <v>22</v>
      </c>
      <c r="P23" s="1">
        <f t="shared" si="3"/>
        <v>11</v>
      </c>
      <c r="Q23" s="1">
        <f t="shared" si="4"/>
        <v>11</v>
      </c>
      <c r="R23" s="6">
        <f t="shared" si="5"/>
        <v>0.52469135802469136</v>
      </c>
      <c r="S23" s="8">
        <f t="shared" si="6"/>
        <v>73.759711236751301</v>
      </c>
      <c r="T23" s="8">
        <f t="shared" si="7"/>
        <v>11.240288763248699</v>
      </c>
      <c r="U23" t="str">
        <f t="shared" si="8"/>
        <v>Low</v>
      </c>
    </row>
    <row r="24" spans="1:21">
      <c r="A24" s="1">
        <v>391</v>
      </c>
      <c r="B24" s="2">
        <v>2000</v>
      </c>
      <c r="C24" s="1" t="s">
        <v>55</v>
      </c>
      <c r="D24" s="1" t="s">
        <v>56</v>
      </c>
      <c r="E24" s="1" t="s">
        <v>17</v>
      </c>
      <c r="F24" s="1" t="s">
        <v>32</v>
      </c>
      <c r="G24" s="9">
        <v>35782833</v>
      </c>
      <c r="H24" s="1">
        <v>73</v>
      </c>
      <c r="I24" s="1">
        <v>89</v>
      </c>
      <c r="J24" s="1">
        <v>24.8</v>
      </c>
      <c r="K24" s="1" t="s">
        <v>19</v>
      </c>
      <c r="L24" s="1" t="s">
        <v>19</v>
      </c>
      <c r="M24" s="10">
        <f t="shared" si="0"/>
        <v>1442856.1693548388</v>
      </c>
      <c r="N24" s="10">
        <f t="shared" si="1"/>
        <v>490175.79452054796</v>
      </c>
      <c r="O24" s="1">
        <f t="shared" si="2"/>
        <v>23</v>
      </c>
      <c r="P24" s="1">
        <f t="shared" si="3"/>
        <v>22</v>
      </c>
      <c r="Q24" s="1">
        <f t="shared" si="4"/>
        <v>1</v>
      </c>
      <c r="R24" s="6">
        <f t="shared" si="5"/>
        <v>0.45061728395061729</v>
      </c>
      <c r="S24" s="8">
        <f t="shared" si="6"/>
        <v>73.023322084070628</v>
      </c>
      <c r="T24" s="8">
        <f t="shared" si="7"/>
        <v>-2.332208407062808E-2</v>
      </c>
      <c r="U24" t="str">
        <f t="shared" si="8"/>
        <v>Low</v>
      </c>
    </row>
    <row r="25" spans="1:21">
      <c r="A25" s="1">
        <v>443</v>
      </c>
      <c r="B25" s="2">
        <v>2000</v>
      </c>
      <c r="C25" s="1" t="s">
        <v>59</v>
      </c>
      <c r="D25" s="1" t="s">
        <v>60</v>
      </c>
      <c r="E25" s="1" t="s">
        <v>17</v>
      </c>
      <c r="F25" s="1" t="s">
        <v>23</v>
      </c>
      <c r="G25" s="9">
        <v>33527666</v>
      </c>
      <c r="H25" s="1">
        <v>94</v>
      </c>
      <c r="I25" s="1">
        <v>68</v>
      </c>
      <c r="J25" s="1">
        <v>29.1</v>
      </c>
      <c r="K25" s="1" t="s">
        <v>20</v>
      </c>
      <c r="L25" s="1" t="s">
        <v>19</v>
      </c>
      <c r="M25" s="10">
        <f t="shared" si="0"/>
        <v>1152153.4707903781</v>
      </c>
      <c r="N25" s="10">
        <f t="shared" si="1"/>
        <v>356677.29787234042</v>
      </c>
      <c r="O25" s="1">
        <f t="shared" si="2"/>
        <v>24</v>
      </c>
      <c r="P25" s="1">
        <f t="shared" si="3"/>
        <v>5</v>
      </c>
      <c r="Q25" s="1">
        <f t="shared" si="4"/>
        <v>19</v>
      </c>
      <c r="R25" s="6">
        <f t="shared" si="5"/>
        <v>0.58024691358024694</v>
      </c>
      <c r="S25" s="8">
        <f t="shared" si="6"/>
        <v>72.826434582017086</v>
      </c>
      <c r="T25" s="8">
        <f t="shared" si="7"/>
        <v>21.173565417982914</v>
      </c>
      <c r="U25" t="str">
        <f t="shared" si="8"/>
        <v>Low</v>
      </c>
    </row>
    <row r="26" spans="1:21">
      <c r="A26" s="1">
        <v>521</v>
      </c>
      <c r="B26" s="2">
        <v>2000</v>
      </c>
      <c r="C26" s="1" t="s">
        <v>65</v>
      </c>
      <c r="D26" s="1" t="s">
        <v>66</v>
      </c>
      <c r="E26" s="1" t="s">
        <v>17</v>
      </c>
      <c r="F26" s="1" t="s">
        <v>23</v>
      </c>
      <c r="G26" s="9">
        <v>32121833</v>
      </c>
      <c r="H26" s="1">
        <v>65</v>
      </c>
      <c r="I26" s="1">
        <v>97</v>
      </c>
      <c r="J26" s="1">
        <v>43.1</v>
      </c>
      <c r="K26" s="1" t="s">
        <v>19</v>
      </c>
      <c r="L26" s="1" t="s">
        <v>19</v>
      </c>
      <c r="M26" s="10">
        <f t="shared" si="0"/>
        <v>745286.14849187934</v>
      </c>
      <c r="N26" s="10">
        <f t="shared" si="1"/>
        <v>494182.04615384614</v>
      </c>
      <c r="O26" s="1">
        <f t="shared" si="2"/>
        <v>25</v>
      </c>
      <c r="P26" s="1">
        <f t="shared" si="3"/>
        <v>29</v>
      </c>
      <c r="Q26" s="1">
        <f t="shared" si="4"/>
        <v>-4</v>
      </c>
      <c r="R26" s="6">
        <f t="shared" si="5"/>
        <v>0.40123456790123457</v>
      </c>
      <c r="S26" s="8">
        <f t="shared" si="6"/>
        <v>72.703698240240882</v>
      </c>
      <c r="T26" s="8">
        <f t="shared" si="7"/>
        <v>-7.7036982402408825</v>
      </c>
      <c r="U26" t="str">
        <f t="shared" si="8"/>
        <v>Low</v>
      </c>
    </row>
    <row r="27" spans="1:21">
      <c r="A27" s="1">
        <v>131</v>
      </c>
      <c r="B27" s="2">
        <v>2000</v>
      </c>
      <c r="C27" s="1" t="s">
        <v>33</v>
      </c>
      <c r="D27" s="1" t="s">
        <v>34</v>
      </c>
      <c r="E27" s="1" t="s">
        <v>26</v>
      </c>
      <c r="F27" s="1" t="s">
        <v>35</v>
      </c>
      <c r="G27" s="9">
        <v>31159000</v>
      </c>
      <c r="H27" s="1">
        <v>95</v>
      </c>
      <c r="I27" s="1">
        <v>67</v>
      </c>
      <c r="J27" s="1">
        <v>48.1</v>
      </c>
      <c r="K27" s="1" t="s">
        <v>20</v>
      </c>
      <c r="L27" s="1" t="s">
        <v>19</v>
      </c>
      <c r="M27" s="10">
        <f t="shared" si="0"/>
        <v>647796.25779625773</v>
      </c>
      <c r="N27" s="10">
        <f t="shared" si="1"/>
        <v>327989.4736842105</v>
      </c>
      <c r="O27" s="1">
        <f t="shared" si="2"/>
        <v>26</v>
      </c>
      <c r="P27" s="1">
        <f t="shared" si="3"/>
        <v>2</v>
      </c>
      <c r="Q27" s="1">
        <f t="shared" si="4"/>
        <v>24</v>
      </c>
      <c r="R27" s="6">
        <f t="shared" si="5"/>
        <v>0.5864197530864198</v>
      </c>
      <c r="S27" s="8">
        <f t="shared" si="6"/>
        <v>72.619638042364301</v>
      </c>
      <c r="T27" s="8">
        <f t="shared" si="7"/>
        <v>22.380361957635699</v>
      </c>
      <c r="U27" t="str">
        <f t="shared" si="8"/>
        <v>Low</v>
      </c>
    </row>
    <row r="28" spans="1:21">
      <c r="A28" s="1">
        <v>573</v>
      </c>
      <c r="B28" s="2">
        <v>2000</v>
      </c>
      <c r="C28" s="1" t="s">
        <v>69</v>
      </c>
      <c r="D28" s="1" t="s">
        <v>70</v>
      </c>
      <c r="E28" s="1" t="s">
        <v>17</v>
      </c>
      <c r="F28" s="1" t="s">
        <v>18</v>
      </c>
      <c r="G28" s="9">
        <v>29561667</v>
      </c>
      <c r="H28" s="1">
        <v>76</v>
      </c>
      <c r="I28" s="1">
        <v>86</v>
      </c>
      <c r="J28" s="1">
        <v>21.2</v>
      </c>
      <c r="K28" s="1" t="s">
        <v>19</v>
      </c>
      <c r="L28" s="1" t="s">
        <v>19</v>
      </c>
      <c r="M28" s="10">
        <f t="shared" si="0"/>
        <v>1394418.2547169812</v>
      </c>
      <c r="N28" s="10">
        <f t="shared" si="1"/>
        <v>388969.30263157893</v>
      </c>
      <c r="O28" s="1">
        <f t="shared" si="2"/>
        <v>27</v>
      </c>
      <c r="P28" s="1">
        <f t="shared" si="3"/>
        <v>20</v>
      </c>
      <c r="Q28" s="1">
        <f t="shared" si="4"/>
        <v>7</v>
      </c>
      <c r="R28" s="6">
        <f t="shared" si="5"/>
        <v>0.46913580246913578</v>
      </c>
      <c r="S28" s="8">
        <f t="shared" si="6"/>
        <v>72.480182780595356</v>
      </c>
      <c r="T28" s="8">
        <f t="shared" si="7"/>
        <v>3.5198172194046435</v>
      </c>
      <c r="U28" t="str">
        <f t="shared" si="8"/>
        <v>Low</v>
      </c>
    </row>
    <row r="29" spans="1:21">
      <c r="A29" s="1">
        <v>313</v>
      </c>
      <c r="B29" s="2">
        <v>2000</v>
      </c>
      <c r="C29" s="1" t="s">
        <v>49</v>
      </c>
      <c r="D29" s="1" t="s">
        <v>50</v>
      </c>
      <c r="E29" s="1" t="s">
        <v>26</v>
      </c>
      <c r="F29" s="1" t="s">
        <v>46</v>
      </c>
      <c r="G29" s="9">
        <v>23132500</v>
      </c>
      <c r="H29" s="1">
        <v>82</v>
      </c>
      <c r="I29" s="1">
        <v>80</v>
      </c>
      <c r="J29" s="1">
        <v>26.4</v>
      </c>
      <c r="K29" s="1" t="s">
        <v>19</v>
      </c>
      <c r="L29" s="1" t="s">
        <v>19</v>
      </c>
      <c r="M29" s="10">
        <f t="shared" si="0"/>
        <v>876231.06060606067</v>
      </c>
      <c r="N29" s="10">
        <f t="shared" si="1"/>
        <v>282103.65853658534</v>
      </c>
      <c r="O29" s="1">
        <f t="shared" si="2"/>
        <v>28</v>
      </c>
      <c r="P29" s="1">
        <f t="shared" si="3"/>
        <v>15</v>
      </c>
      <c r="Q29" s="1">
        <f t="shared" si="4"/>
        <v>13</v>
      </c>
      <c r="R29" s="6">
        <f t="shared" si="5"/>
        <v>0.50617283950617287</v>
      </c>
      <c r="S29" s="8">
        <f t="shared" si="6"/>
        <v>71.918883936245905</v>
      </c>
      <c r="T29" s="8">
        <f t="shared" si="7"/>
        <v>10.081116063754095</v>
      </c>
      <c r="U29" t="str">
        <f t="shared" si="8"/>
        <v>Low</v>
      </c>
    </row>
    <row r="30" spans="1:21">
      <c r="A30" s="1">
        <v>261</v>
      </c>
      <c r="B30" s="2">
        <v>2000</v>
      </c>
      <c r="C30" s="1" t="s">
        <v>44</v>
      </c>
      <c r="D30" s="1" t="s">
        <v>45</v>
      </c>
      <c r="E30" s="1" t="s">
        <v>26</v>
      </c>
      <c r="F30" s="1" t="s">
        <v>46</v>
      </c>
      <c r="G30" s="9">
        <v>19870000</v>
      </c>
      <c r="H30" s="1">
        <v>72</v>
      </c>
      <c r="I30" s="1">
        <v>90</v>
      </c>
      <c r="J30" s="1">
        <v>28.6</v>
      </c>
      <c r="K30" s="1" t="s">
        <v>19</v>
      </c>
      <c r="L30" s="1" t="s">
        <v>19</v>
      </c>
      <c r="M30" s="10">
        <f t="shared" si="0"/>
        <v>694755.2447552447</v>
      </c>
      <c r="N30" s="10">
        <f t="shared" si="1"/>
        <v>275972.22222222225</v>
      </c>
      <c r="O30" s="1">
        <f t="shared" si="2"/>
        <v>29</v>
      </c>
      <c r="P30" s="1">
        <f t="shared" si="3"/>
        <v>23</v>
      </c>
      <c r="Q30" s="1">
        <f t="shared" si="4"/>
        <v>6</v>
      </c>
      <c r="R30" s="6">
        <f t="shared" si="5"/>
        <v>0.44444444444444442</v>
      </c>
      <c r="S30" s="8">
        <f t="shared" si="6"/>
        <v>71.634051160912776</v>
      </c>
      <c r="T30" s="8">
        <f t="shared" si="7"/>
        <v>0.36594883908722409</v>
      </c>
      <c r="U30" t="str">
        <f t="shared" si="8"/>
        <v>Low</v>
      </c>
    </row>
    <row r="31" spans="1:21">
      <c r="A31" s="1">
        <v>417</v>
      </c>
      <c r="B31" s="2">
        <v>2000</v>
      </c>
      <c r="C31" s="1" t="s">
        <v>57</v>
      </c>
      <c r="D31" s="1" t="s">
        <v>58</v>
      </c>
      <c r="E31" s="1" t="s">
        <v>26</v>
      </c>
      <c r="F31" s="1" t="s">
        <v>35</v>
      </c>
      <c r="G31" s="9">
        <v>15654500</v>
      </c>
      <c r="H31" s="1">
        <v>69</v>
      </c>
      <c r="I31" s="1">
        <v>93</v>
      </c>
      <c r="J31" s="1">
        <v>23.4</v>
      </c>
      <c r="K31" s="1" t="s">
        <v>19</v>
      </c>
      <c r="L31" s="1" t="s">
        <v>19</v>
      </c>
      <c r="M31" s="10">
        <f t="shared" si="0"/>
        <v>668995.7264957265</v>
      </c>
      <c r="N31" s="10">
        <f t="shared" si="1"/>
        <v>226876.81159420291</v>
      </c>
      <c r="O31" s="1">
        <f t="shared" si="2"/>
        <v>30</v>
      </c>
      <c r="P31" s="1">
        <f t="shared" si="3"/>
        <v>25</v>
      </c>
      <c r="Q31" s="1">
        <f t="shared" si="4"/>
        <v>5</v>
      </c>
      <c r="R31" s="6">
        <f t="shared" si="5"/>
        <v>0.42592592592592593</v>
      </c>
      <c r="S31" s="8">
        <f t="shared" si="6"/>
        <v>71.266016658409555</v>
      </c>
      <c r="T31" s="8">
        <f t="shared" si="7"/>
        <v>-2.2660166584095549</v>
      </c>
      <c r="U31" t="str">
        <f t="shared" si="8"/>
        <v>Low</v>
      </c>
    </row>
    <row r="32" spans="1:21">
      <c r="A32" s="1">
        <v>496</v>
      </c>
      <c r="B32" s="2">
        <v>2001</v>
      </c>
      <c r="C32" s="1" t="s">
        <v>63</v>
      </c>
      <c r="D32" s="1" t="s">
        <v>64</v>
      </c>
      <c r="E32" s="1" t="s">
        <v>26</v>
      </c>
      <c r="F32" s="1" t="s">
        <v>46</v>
      </c>
      <c r="G32" s="9">
        <v>109791893</v>
      </c>
      <c r="H32" s="1">
        <v>102</v>
      </c>
      <c r="I32" s="1">
        <v>60</v>
      </c>
      <c r="J32" s="1">
        <v>47.6</v>
      </c>
      <c r="K32" s="1" t="s">
        <v>20</v>
      </c>
      <c r="L32" s="1" t="s">
        <v>19</v>
      </c>
      <c r="M32" s="10">
        <f t="shared" si="0"/>
        <v>2306552.3739495799</v>
      </c>
      <c r="N32" s="10">
        <f t="shared" si="1"/>
        <v>1076391.1078431373</v>
      </c>
      <c r="O32" s="1">
        <f t="shared" si="2"/>
        <v>1</v>
      </c>
      <c r="P32" s="1">
        <f t="shared" si="3"/>
        <v>2</v>
      </c>
      <c r="Q32" s="1">
        <f t="shared" si="4"/>
        <v>-1</v>
      </c>
      <c r="R32" s="6">
        <f t="shared" si="5"/>
        <v>0.62962962962962965</v>
      </c>
      <c r="S32" s="8">
        <f t="shared" si="6"/>
        <v>79.484687895440899</v>
      </c>
      <c r="T32" s="8">
        <f t="shared" si="7"/>
        <v>22.515312104559101</v>
      </c>
      <c r="U32" t="str">
        <f t="shared" si="8"/>
        <v>Mid</v>
      </c>
    </row>
    <row r="33" spans="1:21">
      <c r="A33" s="1">
        <v>80</v>
      </c>
      <c r="B33" s="2">
        <v>2001</v>
      </c>
      <c r="C33" s="1" t="s">
        <v>28</v>
      </c>
      <c r="D33" s="1" t="s">
        <v>29</v>
      </c>
      <c r="E33" s="1" t="s">
        <v>26</v>
      </c>
      <c r="F33" s="1" t="s">
        <v>27</v>
      </c>
      <c r="G33" s="9">
        <v>109558908</v>
      </c>
      <c r="H33" s="1">
        <v>82</v>
      </c>
      <c r="I33" s="1">
        <v>79</v>
      </c>
      <c r="J33" s="1">
        <v>40.299999999999997</v>
      </c>
      <c r="K33" s="1" t="s">
        <v>19</v>
      </c>
      <c r="L33" s="1" t="s">
        <v>19</v>
      </c>
      <c r="M33" s="10">
        <f t="shared" si="0"/>
        <v>2718583.3250620351</v>
      </c>
      <c r="N33" s="10">
        <f t="shared" si="1"/>
        <v>1336084.243902439</v>
      </c>
      <c r="O33" s="1">
        <f t="shared" si="2"/>
        <v>2</v>
      </c>
      <c r="P33" s="1">
        <f t="shared" si="3"/>
        <v>15</v>
      </c>
      <c r="Q33" s="1">
        <f t="shared" si="4"/>
        <v>-13</v>
      </c>
      <c r="R33" s="6">
        <f t="shared" si="5"/>
        <v>0.50931677018633537</v>
      </c>
      <c r="S33" s="8">
        <f t="shared" si="6"/>
        <v>79.46434712481684</v>
      </c>
      <c r="T33" s="8">
        <f t="shared" si="7"/>
        <v>2.5356528751831604</v>
      </c>
      <c r="U33" t="str">
        <f t="shared" si="8"/>
        <v>Mid</v>
      </c>
    </row>
    <row r="34" spans="1:21">
      <c r="A34" s="1">
        <v>366</v>
      </c>
      <c r="B34" s="2">
        <v>2001</v>
      </c>
      <c r="C34" s="1" t="s">
        <v>53</v>
      </c>
      <c r="D34" s="1" t="s">
        <v>54</v>
      </c>
      <c r="E34" s="1" t="s">
        <v>17</v>
      </c>
      <c r="F34" s="1" t="s">
        <v>23</v>
      </c>
      <c r="G34" s="9">
        <v>108980952</v>
      </c>
      <c r="H34" s="1">
        <v>76</v>
      </c>
      <c r="I34" s="1">
        <v>86</v>
      </c>
      <c r="J34" s="1">
        <v>37.9</v>
      </c>
      <c r="K34" s="1" t="s">
        <v>19</v>
      </c>
      <c r="L34" s="1" t="s">
        <v>19</v>
      </c>
      <c r="M34" s="10">
        <f t="shared" si="0"/>
        <v>2875486.8601583117</v>
      </c>
      <c r="N34" s="10">
        <f t="shared" si="1"/>
        <v>1433959.894736842</v>
      </c>
      <c r="O34" s="1">
        <f t="shared" si="2"/>
        <v>3</v>
      </c>
      <c r="P34" s="1">
        <f t="shared" si="3"/>
        <v>19</v>
      </c>
      <c r="Q34" s="1">
        <f t="shared" si="4"/>
        <v>-16</v>
      </c>
      <c r="R34" s="6">
        <f t="shared" si="5"/>
        <v>0.46913580246913578</v>
      </c>
      <c r="S34" s="8">
        <f t="shared" si="6"/>
        <v>79.413888638533194</v>
      </c>
      <c r="T34" s="8">
        <f t="shared" si="7"/>
        <v>-3.4138886385331944</v>
      </c>
      <c r="U34" t="str">
        <f t="shared" si="8"/>
        <v>Mid</v>
      </c>
    </row>
    <row r="35" spans="1:21">
      <c r="A35" s="1">
        <v>470</v>
      </c>
      <c r="B35" s="2">
        <v>2001</v>
      </c>
      <c r="C35" s="1" t="s">
        <v>61</v>
      </c>
      <c r="D35" s="1" t="s">
        <v>62</v>
      </c>
      <c r="E35" s="1" t="s">
        <v>26</v>
      </c>
      <c r="F35" s="1" t="s">
        <v>27</v>
      </c>
      <c r="G35" s="9">
        <v>93174428</v>
      </c>
      <c r="H35" s="1">
        <v>95</v>
      </c>
      <c r="I35" s="1">
        <v>65</v>
      </c>
      <c r="J35" s="1">
        <v>32.799999999999997</v>
      </c>
      <c r="K35" s="1" t="s">
        <v>20</v>
      </c>
      <c r="L35" s="1" t="s">
        <v>19</v>
      </c>
      <c r="M35" s="10">
        <f t="shared" si="0"/>
        <v>2840683.7804878051</v>
      </c>
      <c r="N35" s="10">
        <f t="shared" si="1"/>
        <v>980783.4526315789</v>
      </c>
      <c r="O35" s="1">
        <f t="shared" si="2"/>
        <v>4</v>
      </c>
      <c r="P35" s="1">
        <f t="shared" si="3"/>
        <v>3</v>
      </c>
      <c r="Q35" s="1">
        <f t="shared" si="4"/>
        <v>1</v>
      </c>
      <c r="R35" s="6">
        <f t="shared" si="5"/>
        <v>0.59375</v>
      </c>
      <c r="S35" s="8">
        <f t="shared" si="6"/>
        <v>78.033899029555528</v>
      </c>
      <c r="T35" s="8">
        <f t="shared" si="7"/>
        <v>16.966100970444472</v>
      </c>
      <c r="U35" t="str">
        <f t="shared" si="8"/>
        <v>Mid</v>
      </c>
    </row>
    <row r="36" spans="1:21">
      <c r="A36" s="1">
        <v>184</v>
      </c>
      <c r="B36" s="2">
        <v>2001</v>
      </c>
      <c r="C36" s="1" t="s">
        <v>38</v>
      </c>
      <c r="D36" s="1" t="s">
        <v>39</v>
      </c>
      <c r="E36" s="1" t="s">
        <v>26</v>
      </c>
      <c r="F36" s="1" t="s">
        <v>35</v>
      </c>
      <c r="G36" s="9">
        <v>91974979</v>
      </c>
      <c r="H36" s="1">
        <v>91</v>
      </c>
      <c r="I36" s="1">
        <v>71</v>
      </c>
      <c r="J36" s="1">
        <v>46.3</v>
      </c>
      <c r="K36" s="1" t="s">
        <v>20</v>
      </c>
      <c r="L36" s="1" t="s">
        <v>19</v>
      </c>
      <c r="M36" s="10">
        <f t="shared" si="0"/>
        <v>1986500.6263498922</v>
      </c>
      <c r="N36" s="10">
        <f t="shared" si="1"/>
        <v>1010714.0549450549</v>
      </c>
      <c r="O36" s="1">
        <f t="shared" si="2"/>
        <v>5</v>
      </c>
      <c r="P36" s="1">
        <f t="shared" si="3"/>
        <v>7</v>
      </c>
      <c r="Q36" s="1">
        <f t="shared" si="4"/>
        <v>-2</v>
      </c>
      <c r="R36" s="6">
        <f t="shared" si="5"/>
        <v>0.56172839506172845</v>
      </c>
      <c r="S36" s="8">
        <f t="shared" si="6"/>
        <v>77.929181056363035</v>
      </c>
      <c r="T36" s="8">
        <f t="shared" si="7"/>
        <v>13.070818943636965</v>
      </c>
      <c r="U36" t="str">
        <f t="shared" si="8"/>
        <v>Mid</v>
      </c>
    </row>
    <row r="37" spans="1:21">
      <c r="A37" s="1">
        <v>28</v>
      </c>
      <c r="B37" s="2">
        <v>2001</v>
      </c>
      <c r="C37" s="1" t="s">
        <v>21</v>
      </c>
      <c r="D37" s="1" t="s">
        <v>22</v>
      </c>
      <c r="E37" s="1" t="s">
        <v>17</v>
      </c>
      <c r="F37" s="1" t="s">
        <v>23</v>
      </c>
      <c r="G37" s="9">
        <v>91851687</v>
      </c>
      <c r="H37" s="1">
        <v>88</v>
      </c>
      <c r="I37" s="1">
        <v>74</v>
      </c>
      <c r="J37" s="1">
        <v>43.7</v>
      </c>
      <c r="K37" s="1" t="s">
        <v>20</v>
      </c>
      <c r="L37" s="1" t="s">
        <v>19</v>
      </c>
      <c r="M37" s="10">
        <f t="shared" si="0"/>
        <v>2101869.2677345537</v>
      </c>
      <c r="N37" s="10">
        <f t="shared" si="1"/>
        <v>1043769.1704545454</v>
      </c>
      <c r="O37" s="1">
        <f t="shared" si="2"/>
        <v>6</v>
      </c>
      <c r="P37" s="1">
        <f t="shared" si="3"/>
        <v>9</v>
      </c>
      <c r="Q37" s="1">
        <f t="shared" si="4"/>
        <v>-3</v>
      </c>
      <c r="R37" s="6">
        <f t="shared" si="5"/>
        <v>0.54320987654320985</v>
      </c>
      <c r="S37" s="8">
        <f t="shared" si="6"/>
        <v>77.918417040259925</v>
      </c>
      <c r="T37" s="8">
        <f t="shared" si="7"/>
        <v>10.081582959740075</v>
      </c>
      <c r="U37" t="str">
        <f t="shared" si="8"/>
        <v>Mid</v>
      </c>
    </row>
    <row r="38" spans="1:21">
      <c r="A38" s="1">
        <v>730</v>
      </c>
      <c r="B38" s="2">
        <v>2001</v>
      </c>
      <c r="C38" s="1" t="s">
        <v>81</v>
      </c>
      <c r="D38" s="1" t="s">
        <v>82</v>
      </c>
      <c r="E38" s="1" t="s">
        <v>26</v>
      </c>
      <c r="F38" s="1" t="s">
        <v>27</v>
      </c>
      <c r="G38" s="9">
        <v>88504421</v>
      </c>
      <c r="H38" s="1">
        <v>80</v>
      </c>
      <c r="I38" s="1">
        <v>82</v>
      </c>
      <c r="J38" s="1">
        <v>26.1</v>
      </c>
      <c r="K38" s="1" t="s">
        <v>19</v>
      </c>
      <c r="L38" s="1" t="s">
        <v>19</v>
      </c>
      <c r="M38" s="10">
        <f t="shared" si="0"/>
        <v>3390973.9846743294</v>
      </c>
      <c r="N38" s="10">
        <f t="shared" si="1"/>
        <v>1106305.2625</v>
      </c>
      <c r="O38" s="1">
        <f t="shared" si="2"/>
        <v>7</v>
      </c>
      <c r="P38" s="1">
        <f t="shared" si="3"/>
        <v>17</v>
      </c>
      <c r="Q38" s="1">
        <f t="shared" si="4"/>
        <v>-10</v>
      </c>
      <c r="R38" s="6">
        <f t="shared" si="5"/>
        <v>0.49382716049382713</v>
      </c>
      <c r="S38" s="8">
        <f t="shared" si="6"/>
        <v>77.626183763766988</v>
      </c>
      <c r="T38" s="8">
        <f t="shared" si="7"/>
        <v>2.3738162362330115</v>
      </c>
      <c r="U38" t="str">
        <f t="shared" si="8"/>
        <v>Mid</v>
      </c>
    </row>
    <row r="39" spans="1:21">
      <c r="A39" s="1">
        <v>2</v>
      </c>
      <c r="B39" s="2">
        <v>2001</v>
      </c>
      <c r="C39" s="1" t="s">
        <v>15</v>
      </c>
      <c r="D39" s="1" t="s">
        <v>16</v>
      </c>
      <c r="E39" s="1" t="s">
        <v>17</v>
      </c>
      <c r="F39" s="1" t="s">
        <v>18</v>
      </c>
      <c r="G39" s="9">
        <v>81206513</v>
      </c>
      <c r="H39" s="1">
        <v>92</v>
      </c>
      <c r="I39" s="1">
        <v>70</v>
      </c>
      <c r="J39" s="1">
        <v>52.2</v>
      </c>
      <c r="K39" s="1" t="s">
        <v>20</v>
      </c>
      <c r="L39" s="1" t="s">
        <v>20</v>
      </c>
      <c r="M39" s="10">
        <f t="shared" si="0"/>
        <v>1555680.325670498</v>
      </c>
      <c r="N39" s="10">
        <f t="shared" si="1"/>
        <v>882679.48913043481</v>
      </c>
      <c r="O39" s="1">
        <f t="shared" si="2"/>
        <v>8</v>
      </c>
      <c r="P39" s="1">
        <f t="shared" si="3"/>
        <v>6</v>
      </c>
      <c r="Q39" s="1">
        <f t="shared" si="4"/>
        <v>2</v>
      </c>
      <c r="R39" s="6">
        <f t="shared" si="5"/>
        <v>0.5679012345679012</v>
      </c>
      <c r="S39" s="8">
        <f t="shared" si="6"/>
        <v>76.989039429739165</v>
      </c>
      <c r="T39" s="8">
        <f t="shared" si="7"/>
        <v>15.010960570260835</v>
      </c>
      <c r="U39" t="str">
        <f t="shared" si="8"/>
        <v>Mid</v>
      </c>
    </row>
    <row r="40" spans="1:21">
      <c r="A40" s="1">
        <v>678</v>
      </c>
      <c r="B40" s="2">
        <v>2001</v>
      </c>
      <c r="C40" s="1" t="s">
        <v>77</v>
      </c>
      <c r="D40" s="1" t="s">
        <v>78</v>
      </c>
      <c r="E40" s="1" t="s">
        <v>26</v>
      </c>
      <c r="F40" s="1" t="s">
        <v>27</v>
      </c>
      <c r="G40" s="9">
        <v>77270855</v>
      </c>
      <c r="H40" s="1">
        <v>62</v>
      </c>
      <c r="I40" s="1">
        <v>100</v>
      </c>
      <c r="J40" s="1">
        <v>42.6</v>
      </c>
      <c r="K40" s="1" t="s">
        <v>19</v>
      </c>
      <c r="L40" s="1" t="s">
        <v>19</v>
      </c>
      <c r="M40" s="10">
        <f t="shared" si="0"/>
        <v>1813869.8356807511</v>
      </c>
      <c r="N40" s="10">
        <f t="shared" si="1"/>
        <v>1246304.1129032257</v>
      </c>
      <c r="O40" s="1">
        <f t="shared" si="2"/>
        <v>9</v>
      </c>
      <c r="P40" s="1">
        <f t="shared" si="3"/>
        <v>29</v>
      </c>
      <c r="Q40" s="1">
        <f t="shared" si="4"/>
        <v>-20</v>
      </c>
      <c r="R40" s="6">
        <f t="shared" si="5"/>
        <v>0.38271604938271603</v>
      </c>
      <c r="S40" s="8">
        <f t="shared" si="6"/>
        <v>76.645436551301771</v>
      </c>
      <c r="T40" s="8">
        <f t="shared" si="7"/>
        <v>-14.645436551301771</v>
      </c>
      <c r="U40" t="str">
        <f t="shared" si="8"/>
        <v>Low</v>
      </c>
    </row>
    <row r="41" spans="1:21">
      <c r="A41" s="1">
        <v>756</v>
      </c>
      <c r="B41" s="2">
        <v>2001</v>
      </c>
      <c r="C41" s="1" t="s">
        <v>83</v>
      </c>
      <c r="D41" s="1" t="s">
        <v>84</v>
      </c>
      <c r="E41" s="1" t="s">
        <v>17</v>
      </c>
      <c r="F41" s="1" t="s">
        <v>23</v>
      </c>
      <c r="G41" s="9">
        <v>75798500</v>
      </c>
      <c r="H41" s="1">
        <v>68</v>
      </c>
      <c r="I41" s="1">
        <v>94</v>
      </c>
      <c r="J41" s="1">
        <v>35.4</v>
      </c>
      <c r="K41" s="1" t="s">
        <v>19</v>
      </c>
      <c r="L41" s="1" t="s">
        <v>19</v>
      </c>
      <c r="M41" s="10">
        <f t="shared" si="0"/>
        <v>2141200.5649717515</v>
      </c>
      <c r="N41" s="10">
        <f t="shared" si="1"/>
        <v>1114683.8235294118</v>
      </c>
      <c r="O41" s="1">
        <f t="shared" si="2"/>
        <v>10</v>
      </c>
      <c r="P41" s="1">
        <f t="shared" si="3"/>
        <v>23</v>
      </c>
      <c r="Q41" s="1">
        <f t="shared" si="4"/>
        <v>-13</v>
      </c>
      <c r="R41" s="6">
        <f t="shared" si="5"/>
        <v>0.41975308641975306</v>
      </c>
      <c r="S41" s="8">
        <f t="shared" si="6"/>
        <v>76.516892501975917</v>
      </c>
      <c r="T41" s="8">
        <f t="shared" si="7"/>
        <v>-8.5168925019759172</v>
      </c>
      <c r="U41" t="str">
        <f t="shared" si="8"/>
        <v>Low</v>
      </c>
    </row>
    <row r="42" spans="1:21">
      <c r="A42" s="1">
        <v>652</v>
      </c>
      <c r="B42" s="2">
        <v>2001</v>
      </c>
      <c r="C42" s="1" t="s">
        <v>75</v>
      </c>
      <c r="D42" s="1" t="s">
        <v>76</v>
      </c>
      <c r="E42" s="1" t="s">
        <v>17</v>
      </c>
      <c r="F42" s="1" t="s">
        <v>32</v>
      </c>
      <c r="G42" s="9">
        <v>75652500</v>
      </c>
      <c r="H42" s="1">
        <v>93</v>
      </c>
      <c r="I42" s="1">
        <v>69</v>
      </c>
      <c r="J42" s="1">
        <v>63.4</v>
      </c>
      <c r="K42" s="1" t="s">
        <v>20</v>
      </c>
      <c r="L42" s="1" t="s">
        <v>19</v>
      </c>
      <c r="M42" s="10">
        <f t="shared" si="0"/>
        <v>1193257.0977917982</v>
      </c>
      <c r="N42" s="10">
        <f t="shared" si="1"/>
        <v>813467.74193548388</v>
      </c>
      <c r="O42" s="1">
        <f t="shared" si="2"/>
        <v>11</v>
      </c>
      <c r="P42" s="1">
        <f t="shared" si="3"/>
        <v>4</v>
      </c>
      <c r="Q42" s="1">
        <f t="shared" si="4"/>
        <v>7</v>
      </c>
      <c r="R42" s="6">
        <f t="shared" si="5"/>
        <v>0.57407407407407407</v>
      </c>
      <c r="S42" s="8">
        <f t="shared" si="6"/>
        <v>76.504145962451432</v>
      </c>
      <c r="T42" s="8">
        <f t="shared" si="7"/>
        <v>16.495854037548568</v>
      </c>
      <c r="U42" t="str">
        <f t="shared" si="8"/>
        <v>Low</v>
      </c>
    </row>
    <row r="43" spans="1:21">
      <c r="A43" s="1">
        <v>54</v>
      </c>
      <c r="B43" s="2">
        <v>2001</v>
      </c>
      <c r="C43" s="1" t="s">
        <v>24</v>
      </c>
      <c r="D43" s="1" t="s">
        <v>25</v>
      </c>
      <c r="E43" s="1" t="s">
        <v>26</v>
      </c>
      <c r="F43" s="1" t="s">
        <v>27</v>
      </c>
      <c r="G43" s="9">
        <v>72426328</v>
      </c>
      <c r="H43" s="1">
        <v>63</v>
      </c>
      <c r="I43" s="1">
        <v>98</v>
      </c>
      <c r="J43" s="1">
        <v>21.5</v>
      </c>
      <c r="K43" s="1" t="s">
        <v>19</v>
      </c>
      <c r="L43" s="1" t="s">
        <v>19</v>
      </c>
      <c r="M43" s="10">
        <f t="shared" si="0"/>
        <v>3368666.418604651</v>
      </c>
      <c r="N43" s="10">
        <f t="shared" si="1"/>
        <v>1149624.253968254</v>
      </c>
      <c r="O43" s="1">
        <f t="shared" si="2"/>
        <v>12</v>
      </c>
      <c r="P43" s="1">
        <f t="shared" si="3"/>
        <v>28</v>
      </c>
      <c r="Q43" s="1">
        <f t="shared" si="4"/>
        <v>-16</v>
      </c>
      <c r="R43" s="6">
        <f t="shared" si="5"/>
        <v>0.39130434782608697</v>
      </c>
      <c r="S43" s="8">
        <f t="shared" si="6"/>
        <v>76.222484805528211</v>
      </c>
      <c r="T43" s="8">
        <f t="shared" si="7"/>
        <v>-13.222484805528211</v>
      </c>
      <c r="U43" t="str">
        <f t="shared" si="8"/>
        <v>Low</v>
      </c>
    </row>
    <row r="44" spans="1:21">
      <c r="A44" s="1">
        <v>210</v>
      </c>
      <c r="B44" s="2">
        <v>2001</v>
      </c>
      <c r="C44" s="1" t="s">
        <v>40</v>
      </c>
      <c r="D44" s="1" t="s">
        <v>41</v>
      </c>
      <c r="E44" s="1" t="s">
        <v>17</v>
      </c>
      <c r="F44" s="1" t="s">
        <v>18</v>
      </c>
      <c r="G44" s="9">
        <v>71068000</v>
      </c>
      <c r="H44" s="1">
        <v>73</v>
      </c>
      <c r="I44" s="1">
        <v>89</v>
      </c>
      <c r="J44" s="1">
        <v>27.8</v>
      </c>
      <c r="K44" s="1" t="s">
        <v>19</v>
      </c>
      <c r="L44" s="1" t="s">
        <v>19</v>
      </c>
      <c r="M44" s="10">
        <f t="shared" si="0"/>
        <v>2556402.8776978417</v>
      </c>
      <c r="N44" s="10">
        <f t="shared" si="1"/>
        <v>973534.24657534249</v>
      </c>
      <c r="O44" s="1">
        <f t="shared" si="2"/>
        <v>13</v>
      </c>
      <c r="P44" s="1">
        <f t="shared" si="3"/>
        <v>21</v>
      </c>
      <c r="Q44" s="1">
        <f t="shared" si="4"/>
        <v>-8</v>
      </c>
      <c r="R44" s="6">
        <f t="shared" si="5"/>
        <v>0.45061728395061729</v>
      </c>
      <c r="S44" s="8">
        <f t="shared" si="6"/>
        <v>76.103895890876046</v>
      </c>
      <c r="T44" s="8">
        <f t="shared" si="7"/>
        <v>-3.1038958908760463</v>
      </c>
      <c r="U44" t="str">
        <f t="shared" si="8"/>
        <v>Low</v>
      </c>
    </row>
    <row r="45" spans="1:21">
      <c r="A45" s="1">
        <v>106</v>
      </c>
      <c r="B45" s="2">
        <v>2001</v>
      </c>
      <c r="C45" s="1" t="s">
        <v>30</v>
      </c>
      <c r="D45" s="1" t="s">
        <v>31</v>
      </c>
      <c r="E45" s="1" t="s">
        <v>17</v>
      </c>
      <c r="F45" s="1" t="s">
        <v>32</v>
      </c>
      <c r="G45" s="9">
        <v>64015833</v>
      </c>
      <c r="H45" s="1">
        <v>88</v>
      </c>
      <c r="I45" s="1">
        <v>74</v>
      </c>
      <c r="J45" s="1">
        <v>43.1</v>
      </c>
      <c r="K45" s="1" t="s">
        <v>19</v>
      </c>
      <c r="L45" s="1" t="s">
        <v>19</v>
      </c>
      <c r="M45" s="10">
        <f t="shared" si="0"/>
        <v>1485286.1484918792</v>
      </c>
      <c r="N45" s="10">
        <f t="shared" si="1"/>
        <v>727452.64772727271</v>
      </c>
      <c r="O45" s="1">
        <f t="shared" si="2"/>
        <v>14</v>
      </c>
      <c r="P45" s="1">
        <f t="shared" si="3"/>
        <v>9</v>
      </c>
      <c r="Q45" s="1">
        <f t="shared" si="4"/>
        <v>5</v>
      </c>
      <c r="R45" s="6">
        <f t="shared" si="5"/>
        <v>0.54320987654320985</v>
      </c>
      <c r="S45" s="8">
        <f t="shared" si="6"/>
        <v>75.488205990884424</v>
      </c>
      <c r="T45" s="8">
        <f t="shared" si="7"/>
        <v>12.511794009115576</v>
      </c>
      <c r="U45" t="str">
        <f t="shared" si="8"/>
        <v>Low</v>
      </c>
    </row>
    <row r="46" spans="1:21">
      <c r="A46" s="1">
        <v>626</v>
      </c>
      <c r="B46" s="2">
        <v>2001</v>
      </c>
      <c r="C46" s="1" t="s">
        <v>73</v>
      </c>
      <c r="D46" s="1" t="s">
        <v>74</v>
      </c>
      <c r="E46" s="1" t="s">
        <v>26</v>
      </c>
      <c r="F46" s="1" t="s">
        <v>46</v>
      </c>
      <c r="G46" s="9">
        <v>63332667</v>
      </c>
      <c r="H46" s="1">
        <v>116</v>
      </c>
      <c r="I46" s="1">
        <v>46</v>
      </c>
      <c r="J46" s="1">
        <v>46.9</v>
      </c>
      <c r="K46" s="1" t="s">
        <v>20</v>
      </c>
      <c r="L46" s="1" t="s">
        <v>19</v>
      </c>
      <c r="M46" s="10">
        <f t="shared" si="0"/>
        <v>1350376.6950959489</v>
      </c>
      <c r="N46" s="10">
        <f t="shared" si="1"/>
        <v>545971.26724137936</v>
      </c>
      <c r="O46" s="1">
        <f t="shared" si="2"/>
        <v>15</v>
      </c>
      <c r="P46" s="1">
        <f t="shared" si="3"/>
        <v>1</v>
      </c>
      <c r="Q46" s="1">
        <f t="shared" si="4"/>
        <v>14</v>
      </c>
      <c r="R46" s="6">
        <f t="shared" si="5"/>
        <v>0.71604938271604934</v>
      </c>
      <c r="S46" s="8">
        <f t="shared" si="6"/>
        <v>75.428562138687269</v>
      </c>
      <c r="T46" s="8">
        <f t="shared" si="7"/>
        <v>40.571437861312731</v>
      </c>
      <c r="U46" t="str">
        <f t="shared" si="8"/>
        <v>Low</v>
      </c>
    </row>
    <row r="47" spans="1:21">
      <c r="A47" s="1">
        <v>132</v>
      </c>
      <c r="B47" s="2">
        <v>2001</v>
      </c>
      <c r="C47" s="1" t="s">
        <v>33</v>
      </c>
      <c r="D47" s="1" t="s">
        <v>34</v>
      </c>
      <c r="E47" s="1" t="s">
        <v>26</v>
      </c>
      <c r="F47" s="1" t="s">
        <v>35</v>
      </c>
      <c r="G47" s="9">
        <v>62363000</v>
      </c>
      <c r="H47" s="1">
        <v>83</v>
      </c>
      <c r="I47" s="1">
        <v>79</v>
      </c>
      <c r="J47" s="1">
        <v>34.200000000000003</v>
      </c>
      <c r="K47" s="1" t="s">
        <v>19</v>
      </c>
      <c r="L47" s="1" t="s">
        <v>19</v>
      </c>
      <c r="M47" s="10">
        <f t="shared" si="0"/>
        <v>1823479.5321637425</v>
      </c>
      <c r="N47" s="10">
        <f t="shared" si="1"/>
        <v>751361.44578313257</v>
      </c>
      <c r="O47" s="1">
        <f t="shared" si="2"/>
        <v>16</v>
      </c>
      <c r="P47" s="1">
        <f t="shared" si="3"/>
        <v>14</v>
      </c>
      <c r="Q47" s="1">
        <f t="shared" si="4"/>
        <v>2</v>
      </c>
      <c r="R47" s="6">
        <f t="shared" si="5"/>
        <v>0.51234567901234573</v>
      </c>
      <c r="S47" s="8">
        <f t="shared" si="6"/>
        <v>75.34390529799488</v>
      </c>
      <c r="T47" s="8">
        <f t="shared" si="7"/>
        <v>7.6560947020051202</v>
      </c>
      <c r="U47" t="str">
        <f t="shared" si="8"/>
        <v>Low</v>
      </c>
    </row>
    <row r="48" spans="1:21">
      <c r="A48" s="1">
        <v>288</v>
      </c>
      <c r="B48" s="2">
        <v>2001</v>
      </c>
      <c r="C48" s="1" t="s">
        <v>47</v>
      </c>
      <c r="D48" s="1" t="s">
        <v>48</v>
      </c>
      <c r="E48" s="1" t="s">
        <v>26</v>
      </c>
      <c r="F48" s="1" t="s">
        <v>35</v>
      </c>
      <c r="G48" s="9">
        <v>60382667</v>
      </c>
      <c r="H48" s="1">
        <v>65</v>
      </c>
      <c r="I48" s="1">
        <v>97</v>
      </c>
      <c r="J48" s="1">
        <v>42.2</v>
      </c>
      <c r="K48" s="1" t="s">
        <v>19</v>
      </c>
      <c r="L48" s="1" t="s">
        <v>19</v>
      </c>
      <c r="M48" s="10">
        <f t="shared" si="0"/>
        <v>1430868.8862559241</v>
      </c>
      <c r="N48" s="10">
        <f t="shared" si="1"/>
        <v>928964.10769230768</v>
      </c>
      <c r="O48" s="1">
        <f t="shared" si="2"/>
        <v>17</v>
      </c>
      <c r="P48" s="1">
        <f t="shared" si="3"/>
        <v>27</v>
      </c>
      <c r="Q48" s="1">
        <f t="shared" si="4"/>
        <v>-10</v>
      </c>
      <c r="R48" s="6">
        <f t="shared" si="5"/>
        <v>0.40123456790123457</v>
      </c>
      <c r="S48" s="8">
        <f t="shared" si="6"/>
        <v>75.171012196240468</v>
      </c>
      <c r="T48" s="8">
        <f t="shared" si="7"/>
        <v>-10.171012196240468</v>
      </c>
      <c r="U48" t="str">
        <f t="shared" si="8"/>
        <v>Low</v>
      </c>
    </row>
    <row r="49" spans="1:21">
      <c r="A49" s="1">
        <v>704</v>
      </c>
      <c r="B49" s="2">
        <v>2001</v>
      </c>
      <c r="C49" s="1" t="s">
        <v>79</v>
      </c>
      <c r="D49" s="1" t="s">
        <v>80</v>
      </c>
      <c r="E49" s="1" t="s">
        <v>26</v>
      </c>
      <c r="F49" s="1" t="s">
        <v>46</v>
      </c>
      <c r="G49" s="9">
        <v>54951602</v>
      </c>
      <c r="H49" s="1">
        <v>73</v>
      </c>
      <c r="I49" s="1">
        <v>89</v>
      </c>
      <c r="J49" s="1">
        <v>15.7</v>
      </c>
      <c r="K49" s="1" t="s">
        <v>19</v>
      </c>
      <c r="L49" s="1" t="s">
        <v>19</v>
      </c>
      <c r="M49" s="10">
        <f t="shared" si="0"/>
        <v>3500102.0382165606</v>
      </c>
      <c r="N49" s="10">
        <f t="shared" si="1"/>
        <v>752761.67123287672</v>
      </c>
      <c r="O49" s="1">
        <f t="shared" si="2"/>
        <v>18</v>
      </c>
      <c r="P49" s="1">
        <f t="shared" si="3"/>
        <v>21</v>
      </c>
      <c r="Q49" s="1">
        <f t="shared" si="4"/>
        <v>-3</v>
      </c>
      <c r="R49" s="6">
        <f t="shared" si="5"/>
        <v>0.45061728395061729</v>
      </c>
      <c r="S49" s="8">
        <f t="shared" si="6"/>
        <v>74.696852712113383</v>
      </c>
      <c r="T49" s="8">
        <f t="shared" si="7"/>
        <v>-1.6968527121133832</v>
      </c>
      <c r="U49" t="str">
        <f t="shared" si="8"/>
        <v>Low</v>
      </c>
    </row>
    <row r="50" spans="1:21">
      <c r="A50" s="1">
        <v>574</v>
      </c>
      <c r="B50" s="2">
        <v>2001</v>
      </c>
      <c r="C50" s="1" t="s">
        <v>69</v>
      </c>
      <c r="D50" s="1" t="s">
        <v>70</v>
      </c>
      <c r="E50" s="1" t="s">
        <v>17</v>
      </c>
      <c r="F50" s="1" t="s">
        <v>18</v>
      </c>
      <c r="G50" s="9">
        <v>52698333</v>
      </c>
      <c r="H50" s="1">
        <v>79</v>
      </c>
      <c r="I50" s="1">
        <v>83</v>
      </c>
      <c r="J50" s="1">
        <v>14.2</v>
      </c>
      <c r="K50" s="1" t="s">
        <v>19</v>
      </c>
      <c r="L50" s="1" t="s">
        <v>19</v>
      </c>
      <c r="M50" s="10">
        <f t="shared" si="0"/>
        <v>3711150.2112676059</v>
      </c>
      <c r="N50" s="10">
        <f t="shared" si="1"/>
        <v>667067.50632911397</v>
      </c>
      <c r="O50" s="1">
        <f t="shared" si="2"/>
        <v>19</v>
      </c>
      <c r="P50" s="1">
        <f t="shared" si="3"/>
        <v>18</v>
      </c>
      <c r="Q50" s="1">
        <f t="shared" si="4"/>
        <v>1</v>
      </c>
      <c r="R50" s="6">
        <f t="shared" si="5"/>
        <v>0.48765432098765432</v>
      </c>
      <c r="S50" s="8">
        <f t="shared" si="6"/>
        <v>74.500130915073669</v>
      </c>
      <c r="T50" s="8">
        <f t="shared" si="7"/>
        <v>4.4998690849263312</v>
      </c>
      <c r="U50" t="str">
        <f t="shared" si="8"/>
        <v>Low</v>
      </c>
    </row>
    <row r="51" spans="1:21">
      <c r="A51" s="1">
        <v>236</v>
      </c>
      <c r="B51" s="2">
        <v>2001</v>
      </c>
      <c r="C51" s="1" t="s">
        <v>42</v>
      </c>
      <c r="D51" s="1" t="s">
        <v>43</v>
      </c>
      <c r="E51" s="1" t="s">
        <v>26</v>
      </c>
      <c r="F51" s="1" t="s">
        <v>35</v>
      </c>
      <c r="G51" s="9">
        <v>49831167</v>
      </c>
      <c r="H51" s="1">
        <v>66</v>
      </c>
      <c r="I51" s="1">
        <v>96</v>
      </c>
      <c r="J51" s="1">
        <v>21.9</v>
      </c>
      <c r="K51" s="1" t="s">
        <v>19</v>
      </c>
      <c r="L51" s="1" t="s">
        <v>19</v>
      </c>
      <c r="M51" s="10">
        <f t="shared" si="0"/>
        <v>2275395.7534246575</v>
      </c>
      <c r="N51" s="10">
        <f t="shared" si="1"/>
        <v>755017.68181818177</v>
      </c>
      <c r="O51" s="1">
        <f t="shared" si="2"/>
        <v>20</v>
      </c>
      <c r="P51" s="1">
        <f t="shared" si="3"/>
        <v>25</v>
      </c>
      <c r="Q51" s="1">
        <f t="shared" si="4"/>
        <v>-5</v>
      </c>
      <c r="R51" s="6">
        <f t="shared" si="5"/>
        <v>0.40740740740740738</v>
      </c>
      <c r="S51" s="8">
        <f t="shared" si="6"/>
        <v>74.249812800400633</v>
      </c>
      <c r="T51" s="8">
        <f t="shared" si="7"/>
        <v>-8.2498128004006333</v>
      </c>
      <c r="U51" t="str">
        <f t="shared" si="8"/>
        <v>Low</v>
      </c>
    </row>
    <row r="52" spans="1:21">
      <c r="A52" s="1">
        <v>340</v>
      </c>
      <c r="B52" s="2">
        <v>2001</v>
      </c>
      <c r="C52" s="1" t="s">
        <v>51</v>
      </c>
      <c r="D52" s="1" t="s">
        <v>52</v>
      </c>
      <c r="E52" s="1" t="s">
        <v>17</v>
      </c>
      <c r="F52" s="1" t="s">
        <v>18</v>
      </c>
      <c r="G52" s="9">
        <v>46568180</v>
      </c>
      <c r="H52" s="1">
        <v>86</v>
      </c>
      <c r="I52" s="1">
        <v>76</v>
      </c>
      <c r="J52" s="1">
        <v>38.4</v>
      </c>
      <c r="K52" s="1" t="s">
        <v>19</v>
      </c>
      <c r="L52" s="1" t="s">
        <v>19</v>
      </c>
      <c r="M52" s="10">
        <f t="shared" si="0"/>
        <v>1212713.0208333335</v>
      </c>
      <c r="N52" s="10">
        <f t="shared" si="1"/>
        <v>541490.46511627908</v>
      </c>
      <c r="O52" s="1">
        <f t="shared" si="2"/>
        <v>21</v>
      </c>
      <c r="P52" s="1">
        <f t="shared" si="3"/>
        <v>11</v>
      </c>
      <c r="Q52" s="1">
        <f t="shared" si="4"/>
        <v>10</v>
      </c>
      <c r="R52" s="6">
        <f t="shared" si="5"/>
        <v>0.53086419753086422</v>
      </c>
      <c r="S52" s="8">
        <f t="shared" si="6"/>
        <v>73.96493750750075</v>
      </c>
      <c r="T52" s="8">
        <f t="shared" si="7"/>
        <v>12.03506249249925</v>
      </c>
      <c r="U52" t="str">
        <f t="shared" si="8"/>
        <v>Low</v>
      </c>
    </row>
    <row r="53" spans="1:21">
      <c r="A53" s="1">
        <v>158</v>
      </c>
      <c r="B53" s="2">
        <v>2001</v>
      </c>
      <c r="C53" s="1" t="s">
        <v>36</v>
      </c>
      <c r="D53" s="1" t="s">
        <v>37</v>
      </c>
      <c r="E53" s="1" t="s">
        <v>17</v>
      </c>
      <c r="F53" s="1" t="s">
        <v>32</v>
      </c>
      <c r="G53" s="9">
        <v>45227882</v>
      </c>
      <c r="H53" s="1">
        <v>66</v>
      </c>
      <c r="I53" s="1">
        <v>96</v>
      </c>
      <c r="J53" s="1">
        <v>24.5</v>
      </c>
      <c r="K53" s="1" t="s">
        <v>19</v>
      </c>
      <c r="L53" s="1" t="s">
        <v>19</v>
      </c>
      <c r="M53" s="10">
        <f t="shared" si="0"/>
        <v>1846036</v>
      </c>
      <c r="N53" s="10">
        <f t="shared" si="1"/>
        <v>685270.93939393945</v>
      </c>
      <c r="O53" s="1">
        <f t="shared" si="2"/>
        <v>22</v>
      </c>
      <c r="P53" s="1">
        <f t="shared" si="3"/>
        <v>25</v>
      </c>
      <c r="Q53" s="1">
        <f t="shared" si="4"/>
        <v>-3</v>
      </c>
      <c r="R53" s="6">
        <f t="shared" si="5"/>
        <v>0.40740740740740738</v>
      </c>
      <c r="S53" s="8">
        <f t="shared" si="6"/>
        <v>73.847922703174788</v>
      </c>
      <c r="T53" s="8">
        <f t="shared" si="7"/>
        <v>-7.8479227031747882</v>
      </c>
      <c r="U53" t="str">
        <f t="shared" si="8"/>
        <v>Low</v>
      </c>
    </row>
    <row r="54" spans="1:21">
      <c r="A54" s="1">
        <v>392</v>
      </c>
      <c r="B54" s="2">
        <v>2001</v>
      </c>
      <c r="C54" s="1" t="s">
        <v>55</v>
      </c>
      <c r="D54" s="1" t="s">
        <v>56</v>
      </c>
      <c r="E54" s="1" t="s">
        <v>17</v>
      </c>
      <c r="F54" s="1" t="s">
        <v>32</v>
      </c>
      <c r="G54" s="9">
        <v>43089333</v>
      </c>
      <c r="H54" s="1">
        <v>68</v>
      </c>
      <c r="I54" s="1">
        <v>94</v>
      </c>
      <c r="J54" s="1">
        <v>23.1</v>
      </c>
      <c r="K54" s="1" t="s">
        <v>19</v>
      </c>
      <c r="L54" s="1" t="s">
        <v>19</v>
      </c>
      <c r="M54" s="10">
        <f t="shared" si="0"/>
        <v>1865339.0909090908</v>
      </c>
      <c r="N54" s="10">
        <f t="shared" si="1"/>
        <v>633666.6617647059</v>
      </c>
      <c r="O54" s="1">
        <f t="shared" si="2"/>
        <v>23</v>
      </c>
      <c r="P54" s="1">
        <f t="shared" si="3"/>
        <v>23</v>
      </c>
      <c r="Q54" s="1">
        <f t="shared" si="4"/>
        <v>0</v>
      </c>
      <c r="R54" s="6">
        <f t="shared" si="5"/>
        <v>0.41975308641975306</v>
      </c>
      <c r="S54" s="8">
        <f t="shared" si="6"/>
        <v>73.66121654321897</v>
      </c>
      <c r="T54" s="8">
        <f t="shared" si="7"/>
        <v>-5.6612165432189698</v>
      </c>
      <c r="U54" t="str">
        <f t="shared" si="8"/>
        <v>Low</v>
      </c>
    </row>
    <row r="55" spans="1:21">
      <c r="A55" s="1">
        <v>548</v>
      </c>
      <c r="B55" s="2">
        <v>2001</v>
      </c>
      <c r="C55" s="1" t="s">
        <v>67</v>
      </c>
      <c r="D55" s="1" t="s">
        <v>68</v>
      </c>
      <c r="E55" s="1" t="s">
        <v>17</v>
      </c>
      <c r="F55" s="1" t="s">
        <v>32</v>
      </c>
      <c r="G55" s="9">
        <v>41664167</v>
      </c>
      <c r="H55" s="1">
        <v>62</v>
      </c>
      <c r="I55" s="1">
        <v>100</v>
      </c>
      <c r="J55" s="1">
        <v>39.700000000000003</v>
      </c>
      <c r="K55" s="1" t="s">
        <v>19</v>
      </c>
      <c r="L55" s="1" t="s">
        <v>19</v>
      </c>
      <c r="M55" s="10">
        <f t="shared" si="0"/>
        <v>1049475.2392947103</v>
      </c>
      <c r="N55" s="10">
        <f t="shared" si="1"/>
        <v>672002.69354838715</v>
      </c>
      <c r="O55" s="1">
        <f t="shared" si="2"/>
        <v>24</v>
      </c>
      <c r="P55" s="1">
        <f t="shared" si="3"/>
        <v>29</v>
      </c>
      <c r="Q55" s="1">
        <f t="shared" si="4"/>
        <v>-5</v>
      </c>
      <c r="R55" s="6">
        <f t="shared" si="5"/>
        <v>0.38271604938271603</v>
      </c>
      <c r="S55" s="8">
        <f t="shared" si="6"/>
        <v>73.536792332616542</v>
      </c>
      <c r="T55" s="8">
        <f t="shared" si="7"/>
        <v>-11.536792332616542</v>
      </c>
      <c r="U55" t="str">
        <f t="shared" si="8"/>
        <v>Low</v>
      </c>
    </row>
    <row r="56" spans="1:21">
      <c r="A56" s="1">
        <v>600</v>
      </c>
      <c r="B56" s="2">
        <v>2001</v>
      </c>
      <c r="C56" s="1" t="s">
        <v>71</v>
      </c>
      <c r="D56" s="1" t="s">
        <v>72</v>
      </c>
      <c r="E56" s="1" t="s">
        <v>17</v>
      </c>
      <c r="F56" s="1" t="s">
        <v>18</v>
      </c>
      <c r="G56" s="9">
        <v>38333117</v>
      </c>
      <c r="H56" s="1">
        <v>90</v>
      </c>
      <c r="I56" s="1">
        <v>72</v>
      </c>
      <c r="J56" s="1">
        <v>32.700000000000003</v>
      </c>
      <c r="K56" s="1" t="s">
        <v>19</v>
      </c>
      <c r="L56" s="1" t="s">
        <v>19</v>
      </c>
      <c r="M56" s="10">
        <f t="shared" si="0"/>
        <v>1172266.5749235472</v>
      </c>
      <c r="N56" s="10">
        <f t="shared" si="1"/>
        <v>425923.52222222224</v>
      </c>
      <c r="O56" s="1">
        <f t="shared" si="2"/>
        <v>25</v>
      </c>
      <c r="P56" s="1">
        <f t="shared" si="3"/>
        <v>8</v>
      </c>
      <c r="Q56" s="1">
        <f t="shared" si="4"/>
        <v>17</v>
      </c>
      <c r="R56" s="6">
        <f t="shared" si="5"/>
        <v>0.55555555555555558</v>
      </c>
      <c r="S56" s="8">
        <f t="shared" si="6"/>
        <v>73.245974795061471</v>
      </c>
      <c r="T56" s="8">
        <f t="shared" si="7"/>
        <v>16.754025204938529</v>
      </c>
      <c r="U56" t="str">
        <f t="shared" si="8"/>
        <v>Low</v>
      </c>
    </row>
    <row r="57" spans="1:21">
      <c r="A57" s="1">
        <v>314</v>
      </c>
      <c r="B57" s="2">
        <v>2001</v>
      </c>
      <c r="C57" s="1" t="s">
        <v>49</v>
      </c>
      <c r="D57" s="1" t="s">
        <v>50</v>
      </c>
      <c r="E57" s="1" t="s">
        <v>26</v>
      </c>
      <c r="F57" s="1" t="s">
        <v>46</v>
      </c>
      <c r="G57" s="9">
        <v>35643000</v>
      </c>
      <c r="H57" s="1">
        <v>75</v>
      </c>
      <c r="I57" s="1">
        <v>87</v>
      </c>
      <c r="J57" s="1">
        <v>19.8</v>
      </c>
      <c r="K57" s="1" t="s">
        <v>19</v>
      </c>
      <c r="L57" s="1" t="s">
        <v>19</v>
      </c>
      <c r="M57" s="10">
        <f t="shared" si="0"/>
        <v>1800151.5151515151</v>
      </c>
      <c r="N57" s="10">
        <f t="shared" si="1"/>
        <v>475240</v>
      </c>
      <c r="O57" s="1">
        <f t="shared" si="2"/>
        <v>26</v>
      </c>
      <c r="P57" s="1">
        <f t="shared" si="3"/>
        <v>20</v>
      </c>
      <c r="Q57" s="1">
        <f t="shared" si="4"/>
        <v>6</v>
      </c>
      <c r="R57" s="6">
        <f t="shared" si="5"/>
        <v>0.46296296296296297</v>
      </c>
      <c r="S57" s="8">
        <f t="shared" si="6"/>
        <v>73.011113954883456</v>
      </c>
      <c r="T57" s="8">
        <f t="shared" si="7"/>
        <v>1.9888860451165442</v>
      </c>
      <c r="U57" t="str">
        <f t="shared" si="8"/>
        <v>Low</v>
      </c>
    </row>
    <row r="58" spans="1:21">
      <c r="A58" s="1">
        <v>262</v>
      </c>
      <c r="B58" s="2">
        <v>2001</v>
      </c>
      <c r="C58" s="1" t="s">
        <v>44</v>
      </c>
      <c r="D58" s="1" t="s">
        <v>45</v>
      </c>
      <c r="E58" s="1" t="s">
        <v>26</v>
      </c>
      <c r="F58" s="1" t="s">
        <v>46</v>
      </c>
      <c r="G58" s="9">
        <v>35562500</v>
      </c>
      <c r="H58" s="1">
        <v>93</v>
      </c>
      <c r="I58" s="1">
        <v>69</v>
      </c>
      <c r="J58" s="1">
        <v>35.299999999999997</v>
      </c>
      <c r="K58" s="1" t="s">
        <v>20</v>
      </c>
      <c r="L58" s="1" t="s">
        <v>19</v>
      </c>
      <c r="M58" s="10">
        <f t="shared" si="0"/>
        <v>1007436.2606232296</v>
      </c>
      <c r="N58" s="10">
        <f t="shared" si="1"/>
        <v>382392.47311827959</v>
      </c>
      <c r="O58" s="1">
        <f t="shared" si="2"/>
        <v>27</v>
      </c>
      <c r="P58" s="1">
        <f t="shared" si="3"/>
        <v>4</v>
      </c>
      <c r="Q58" s="1">
        <f t="shared" si="4"/>
        <v>23</v>
      </c>
      <c r="R58" s="6">
        <f t="shared" si="5"/>
        <v>0.57407407407407407</v>
      </c>
      <c r="S58" s="8">
        <f t="shared" si="6"/>
        <v>73.004085897131944</v>
      </c>
      <c r="T58" s="8">
        <f t="shared" si="7"/>
        <v>19.995914102868056</v>
      </c>
      <c r="U58" t="str">
        <f t="shared" si="8"/>
        <v>Low</v>
      </c>
    </row>
    <row r="59" spans="1:21">
      <c r="A59" s="1">
        <v>444</v>
      </c>
      <c r="B59" s="2">
        <v>2001</v>
      </c>
      <c r="C59" s="1" t="s">
        <v>59</v>
      </c>
      <c r="D59" s="1" t="s">
        <v>60</v>
      </c>
      <c r="E59" s="1" t="s">
        <v>17</v>
      </c>
      <c r="F59" s="1" t="s">
        <v>23</v>
      </c>
      <c r="G59" s="9">
        <v>34849500</v>
      </c>
      <c r="H59" s="1">
        <v>82</v>
      </c>
      <c r="I59" s="1">
        <v>80</v>
      </c>
      <c r="J59" s="1">
        <v>23.6</v>
      </c>
      <c r="K59" s="1" t="s">
        <v>19</v>
      </c>
      <c r="L59" s="1" t="s">
        <v>19</v>
      </c>
      <c r="M59" s="10">
        <f t="shared" si="0"/>
        <v>1476673.7288135593</v>
      </c>
      <c r="N59" s="10">
        <f t="shared" si="1"/>
        <v>424993.90243902442</v>
      </c>
      <c r="O59" s="1">
        <f t="shared" si="2"/>
        <v>28</v>
      </c>
      <c r="P59" s="1">
        <f t="shared" si="3"/>
        <v>15</v>
      </c>
      <c r="Q59" s="1">
        <f t="shared" si="4"/>
        <v>13</v>
      </c>
      <c r="R59" s="6">
        <f t="shared" si="5"/>
        <v>0.50617283950617287</v>
      </c>
      <c r="S59" s="8">
        <f t="shared" si="6"/>
        <v>72.941837385618527</v>
      </c>
      <c r="T59" s="8">
        <f t="shared" si="7"/>
        <v>9.0581626143814731</v>
      </c>
      <c r="U59" t="str">
        <f t="shared" si="8"/>
        <v>Low</v>
      </c>
    </row>
    <row r="60" spans="1:21">
      <c r="A60" s="1">
        <v>522</v>
      </c>
      <c r="B60" s="2">
        <v>2001</v>
      </c>
      <c r="C60" s="1" t="s">
        <v>65</v>
      </c>
      <c r="D60" s="1" t="s">
        <v>66</v>
      </c>
      <c r="E60" s="1" t="s">
        <v>17</v>
      </c>
      <c r="F60" s="1" t="s">
        <v>23</v>
      </c>
      <c r="G60" s="9">
        <v>33810750</v>
      </c>
      <c r="H60" s="1">
        <v>86</v>
      </c>
      <c r="I60" s="1">
        <v>76</v>
      </c>
      <c r="J60" s="1">
        <v>52.8</v>
      </c>
      <c r="K60" s="1" t="s">
        <v>19</v>
      </c>
      <c r="L60" s="1" t="s">
        <v>19</v>
      </c>
      <c r="M60" s="10">
        <f t="shared" si="0"/>
        <v>640355.11363636365</v>
      </c>
      <c r="N60" s="10">
        <f t="shared" si="1"/>
        <v>393148.25581395347</v>
      </c>
      <c r="O60" s="1">
        <f t="shared" si="2"/>
        <v>29</v>
      </c>
      <c r="P60" s="1">
        <f t="shared" si="3"/>
        <v>11</v>
      </c>
      <c r="Q60" s="1">
        <f t="shared" si="4"/>
        <v>18</v>
      </c>
      <c r="R60" s="6">
        <f t="shared" si="5"/>
        <v>0.53086419753086422</v>
      </c>
      <c r="S60" s="8">
        <f t="shared" si="6"/>
        <v>72.851149249104409</v>
      </c>
      <c r="T60" s="8">
        <f t="shared" si="7"/>
        <v>13.148850750895591</v>
      </c>
      <c r="U60" t="str">
        <f t="shared" si="8"/>
        <v>Low</v>
      </c>
    </row>
    <row r="61" spans="1:21">
      <c r="A61" s="1">
        <v>418</v>
      </c>
      <c r="B61" s="2">
        <v>2001</v>
      </c>
      <c r="C61" s="1" t="s">
        <v>57</v>
      </c>
      <c r="D61" s="1" t="s">
        <v>58</v>
      </c>
      <c r="E61" s="1" t="s">
        <v>26</v>
      </c>
      <c r="F61" s="1" t="s">
        <v>35</v>
      </c>
      <c r="G61" s="9">
        <v>24130000</v>
      </c>
      <c r="H61" s="1">
        <v>85</v>
      </c>
      <c r="I61" s="1">
        <v>77</v>
      </c>
      <c r="J61" s="1">
        <v>38.5</v>
      </c>
      <c r="K61" s="1" t="s">
        <v>19</v>
      </c>
      <c r="L61" s="1" t="s">
        <v>19</v>
      </c>
      <c r="M61" s="10">
        <f t="shared" si="0"/>
        <v>626753.24675324676</v>
      </c>
      <c r="N61" s="10">
        <f t="shared" si="1"/>
        <v>283882.35294117645</v>
      </c>
      <c r="O61" s="1">
        <f t="shared" si="2"/>
        <v>30</v>
      </c>
      <c r="P61" s="1">
        <f t="shared" si="3"/>
        <v>13</v>
      </c>
      <c r="Q61" s="1">
        <f t="shared" si="4"/>
        <v>17</v>
      </c>
      <c r="R61" s="6">
        <f t="shared" si="5"/>
        <v>0.52469135802469136</v>
      </c>
      <c r="S61" s="8">
        <f t="shared" si="6"/>
        <v>72.005970738819016</v>
      </c>
      <c r="T61" s="8">
        <f t="shared" si="7"/>
        <v>12.994029261180984</v>
      </c>
      <c r="U61" t="str">
        <f t="shared" si="8"/>
        <v>Low</v>
      </c>
    </row>
    <row r="62" spans="1:21">
      <c r="A62" s="1">
        <v>497</v>
      </c>
      <c r="B62" s="2">
        <v>2002</v>
      </c>
      <c r="C62" s="1" t="s">
        <v>63</v>
      </c>
      <c r="D62" s="1" t="s">
        <v>64</v>
      </c>
      <c r="E62" s="1" t="s">
        <v>26</v>
      </c>
      <c r="F62" s="1" t="s">
        <v>46</v>
      </c>
      <c r="G62" s="9">
        <v>125928583</v>
      </c>
      <c r="H62" s="1">
        <v>103</v>
      </c>
      <c r="I62" s="1">
        <v>59</v>
      </c>
      <c r="J62" s="5">
        <v>47.9</v>
      </c>
      <c r="K62" s="1" t="s">
        <v>20</v>
      </c>
      <c r="L62" s="1" t="s">
        <v>19</v>
      </c>
      <c r="M62" s="10">
        <f t="shared" si="0"/>
        <v>2628989.2066805847</v>
      </c>
      <c r="N62" s="10">
        <f t="shared" si="1"/>
        <v>1222607.6019417476</v>
      </c>
      <c r="O62" s="1">
        <f t="shared" si="2"/>
        <v>1</v>
      </c>
      <c r="P62" s="1">
        <f t="shared" si="3"/>
        <v>1</v>
      </c>
      <c r="Q62" s="1">
        <f t="shared" si="4"/>
        <v>0</v>
      </c>
      <c r="R62" s="6">
        <f t="shared" si="5"/>
        <v>0.63580246913580252</v>
      </c>
      <c r="S62" s="8">
        <f t="shared" si="6"/>
        <v>80.893502668587331</v>
      </c>
      <c r="T62" s="8">
        <f t="shared" si="7"/>
        <v>22.106497331412669</v>
      </c>
      <c r="U62" t="str">
        <f t="shared" si="8"/>
        <v>Mid</v>
      </c>
    </row>
    <row r="63" spans="1:21">
      <c r="A63" s="1">
        <v>81</v>
      </c>
      <c r="B63" s="2">
        <v>2002</v>
      </c>
      <c r="C63" s="1" t="s">
        <v>28</v>
      </c>
      <c r="D63" s="1" t="s">
        <v>29</v>
      </c>
      <c r="E63" s="1" t="s">
        <v>26</v>
      </c>
      <c r="F63" s="1" t="s">
        <v>27</v>
      </c>
      <c r="G63" s="9">
        <v>108366060</v>
      </c>
      <c r="H63" s="1">
        <v>93</v>
      </c>
      <c r="I63" s="1">
        <v>69</v>
      </c>
      <c r="J63" s="5">
        <v>48.7</v>
      </c>
      <c r="K63" s="1" t="s">
        <v>19</v>
      </c>
      <c r="L63" s="1" t="s">
        <v>19</v>
      </c>
      <c r="M63" s="10">
        <f t="shared" si="0"/>
        <v>2225175.7700205338</v>
      </c>
      <c r="N63" s="10">
        <f t="shared" si="1"/>
        <v>1165226.4516129033</v>
      </c>
      <c r="O63" s="1">
        <f t="shared" si="2"/>
        <v>2</v>
      </c>
      <c r="P63" s="1">
        <f t="shared" si="3"/>
        <v>9</v>
      </c>
      <c r="Q63" s="1">
        <f t="shared" si="4"/>
        <v>-7</v>
      </c>
      <c r="R63" s="6">
        <f t="shared" si="5"/>
        <v>0.57407407407407407</v>
      </c>
      <c r="S63" s="8">
        <f t="shared" si="6"/>
        <v>79.360205452359963</v>
      </c>
      <c r="T63" s="8">
        <f t="shared" si="7"/>
        <v>13.639794547640037</v>
      </c>
      <c r="U63" t="str">
        <f t="shared" si="8"/>
        <v>Mid</v>
      </c>
    </row>
    <row r="64" spans="1:21">
      <c r="A64" s="1">
        <v>731</v>
      </c>
      <c r="B64" s="2">
        <v>2002</v>
      </c>
      <c r="C64" s="1" t="s">
        <v>81</v>
      </c>
      <c r="D64" s="1" t="s">
        <v>82</v>
      </c>
      <c r="E64" s="1" t="s">
        <v>26</v>
      </c>
      <c r="F64" s="1" t="s">
        <v>27</v>
      </c>
      <c r="G64" s="9">
        <v>105726122</v>
      </c>
      <c r="H64" s="1">
        <v>78</v>
      </c>
      <c r="I64" s="1">
        <v>84</v>
      </c>
      <c r="J64" s="5">
        <v>33.200000000000003</v>
      </c>
      <c r="K64" s="1" t="s">
        <v>19</v>
      </c>
      <c r="L64" s="1" t="s">
        <v>19</v>
      </c>
      <c r="M64" s="10">
        <f t="shared" si="0"/>
        <v>3184521.7469879515</v>
      </c>
      <c r="N64" s="10">
        <f t="shared" si="1"/>
        <v>1355463.1025641025</v>
      </c>
      <c r="O64" s="1">
        <f t="shared" si="2"/>
        <v>3</v>
      </c>
      <c r="P64" s="1">
        <f t="shared" si="3"/>
        <v>17</v>
      </c>
      <c r="Q64" s="1">
        <f t="shared" si="4"/>
        <v>-14</v>
      </c>
      <c r="R64" s="6">
        <f t="shared" si="5"/>
        <v>0.48148148148148145</v>
      </c>
      <c r="S64" s="8">
        <f t="shared" si="6"/>
        <v>79.129725493050429</v>
      </c>
      <c r="T64" s="8">
        <f t="shared" si="7"/>
        <v>-1.1297254930504295</v>
      </c>
      <c r="U64" t="str">
        <f t="shared" si="8"/>
        <v>Mid</v>
      </c>
    </row>
    <row r="65" spans="1:21">
      <c r="A65" s="1">
        <v>3</v>
      </c>
      <c r="B65" s="2">
        <v>2002</v>
      </c>
      <c r="C65" s="1" t="s">
        <v>15</v>
      </c>
      <c r="D65" s="1" t="s">
        <v>16</v>
      </c>
      <c r="E65" s="1" t="s">
        <v>17</v>
      </c>
      <c r="F65" s="1" t="s">
        <v>18</v>
      </c>
      <c r="G65" s="9">
        <v>102819999</v>
      </c>
      <c r="H65" s="1">
        <v>98</v>
      </c>
      <c r="I65" s="1">
        <v>64</v>
      </c>
      <c r="J65" s="5">
        <v>52.8</v>
      </c>
      <c r="K65" s="1" t="s">
        <v>20</v>
      </c>
      <c r="L65" s="1" t="s">
        <v>19</v>
      </c>
      <c r="M65" s="10">
        <f t="shared" si="0"/>
        <v>1947348.4659090911</v>
      </c>
      <c r="N65" s="10">
        <f t="shared" si="1"/>
        <v>1049183.663265306</v>
      </c>
      <c r="O65" s="1">
        <f t="shared" si="2"/>
        <v>4</v>
      </c>
      <c r="P65" s="1">
        <f t="shared" si="3"/>
        <v>5</v>
      </c>
      <c r="Q65" s="1">
        <f t="shared" si="4"/>
        <v>-1</v>
      </c>
      <c r="R65" s="6">
        <f t="shared" si="5"/>
        <v>0.60493827160493829</v>
      </c>
      <c r="S65" s="8">
        <f t="shared" si="6"/>
        <v>78.876006234950992</v>
      </c>
      <c r="T65" s="8">
        <f t="shared" si="7"/>
        <v>19.123993765049008</v>
      </c>
      <c r="U65" t="str">
        <f t="shared" si="8"/>
        <v>Mid</v>
      </c>
    </row>
    <row r="66" spans="1:21">
      <c r="A66" s="1">
        <v>367</v>
      </c>
      <c r="B66" s="2">
        <v>2002</v>
      </c>
      <c r="C66" s="1" t="s">
        <v>53</v>
      </c>
      <c r="D66" s="1" t="s">
        <v>54</v>
      </c>
      <c r="E66" s="1" t="s">
        <v>17</v>
      </c>
      <c r="F66" s="1" t="s">
        <v>23</v>
      </c>
      <c r="G66" s="9">
        <v>94850953</v>
      </c>
      <c r="H66" s="1">
        <v>79</v>
      </c>
      <c r="I66" s="1">
        <v>83</v>
      </c>
      <c r="J66" s="5">
        <v>42.3</v>
      </c>
      <c r="K66" s="1" t="s">
        <v>19</v>
      </c>
      <c r="L66" s="1" t="s">
        <v>19</v>
      </c>
      <c r="M66" s="10">
        <f t="shared" ref="M66:M129" si="9">G66/J66</f>
        <v>2242339.3144208039</v>
      </c>
      <c r="N66" s="10">
        <f t="shared" ref="N66:N129" si="10">G66/H66</f>
        <v>1200644.9746835444</v>
      </c>
      <c r="O66" s="1">
        <f t="shared" si="2"/>
        <v>5</v>
      </c>
      <c r="P66" s="1">
        <f t="shared" si="3"/>
        <v>16</v>
      </c>
      <c r="Q66" s="1">
        <f t="shared" si="4"/>
        <v>-11</v>
      </c>
      <c r="R66" s="6">
        <f t="shared" si="5"/>
        <v>0.48765432098765432</v>
      </c>
      <c r="S66" s="8">
        <f t="shared" si="6"/>
        <v>78.180268154050665</v>
      </c>
      <c r="T66" s="8">
        <f t="shared" si="7"/>
        <v>0.81973184594933457</v>
      </c>
      <c r="U66" t="str">
        <f t="shared" si="8"/>
        <v>Mid</v>
      </c>
    </row>
    <row r="67" spans="1:21">
      <c r="A67" s="1">
        <v>471</v>
      </c>
      <c r="B67" s="2">
        <v>2002</v>
      </c>
      <c r="C67" s="1" t="s">
        <v>61</v>
      </c>
      <c r="D67" s="1" t="s">
        <v>62</v>
      </c>
      <c r="E67" s="1" t="s">
        <v>26</v>
      </c>
      <c r="F67" s="1" t="s">
        <v>27</v>
      </c>
      <c r="G67" s="9">
        <v>94633593</v>
      </c>
      <c r="H67" s="1">
        <v>103</v>
      </c>
      <c r="I67" s="1">
        <v>58</v>
      </c>
      <c r="J67" s="5">
        <v>28.4</v>
      </c>
      <c r="K67" s="1" t="s">
        <v>20</v>
      </c>
      <c r="L67" s="1" t="s">
        <v>19</v>
      </c>
      <c r="M67" s="10">
        <f t="shared" si="9"/>
        <v>3332168.7676056339</v>
      </c>
      <c r="N67" s="10">
        <f t="shared" si="10"/>
        <v>918772.74757281551</v>
      </c>
      <c r="O67" s="1">
        <f t="shared" ref="O67:O130" si="11">COUNTIFS($B$2:$B$1000, B67, $G$2:$G$1000, "&gt;"&amp;G67) + 1</f>
        <v>6</v>
      </c>
      <c r="P67" s="1">
        <f t="shared" ref="P67:P130" si="12">COUNTIFS($B$2:$B$1000, B67, $H$2:$H$1000, "&gt;"&amp;H67) + 1</f>
        <v>1</v>
      </c>
      <c r="Q67" s="1">
        <f t="shared" ref="Q67:Q130" si="13">O67-P67</f>
        <v>5</v>
      </c>
      <c r="R67" s="6">
        <f t="shared" ref="R67:R130" si="14">H67/(H67+I67)</f>
        <v>0.63975155279503104</v>
      </c>
      <c r="S67" s="8">
        <f t="shared" ref="S67:S130" si="15">_xlfn.FORECAST.LINEAR(G67, $H$2:$H$781, $G$2:$G$781)</f>
        <v>78.161291525070922</v>
      </c>
      <c r="T67" s="8">
        <f t="shared" ref="T67:T130" si="16">H67-S67</f>
        <v>24.838708474929078</v>
      </c>
      <c r="U67" t="str">
        <f t="shared" ref="U67:U130" si="17">IF(G67&lt;80000000,"Low",
 IF(G67&lt;150000000,"Mid","High"))</f>
        <v>Mid</v>
      </c>
    </row>
    <row r="68" spans="1:21">
      <c r="A68" s="1">
        <v>29</v>
      </c>
      <c r="B68" s="2">
        <v>2002</v>
      </c>
      <c r="C68" s="1" t="s">
        <v>21</v>
      </c>
      <c r="D68" s="1" t="s">
        <v>22</v>
      </c>
      <c r="E68" s="1" t="s">
        <v>17</v>
      </c>
      <c r="F68" s="1" t="s">
        <v>23</v>
      </c>
      <c r="G68" s="9">
        <v>93470367</v>
      </c>
      <c r="H68" s="1">
        <v>101</v>
      </c>
      <c r="I68" s="1">
        <v>59</v>
      </c>
      <c r="J68" s="5">
        <v>49.4</v>
      </c>
      <c r="K68" s="1" t="s">
        <v>20</v>
      </c>
      <c r="L68" s="1" t="s">
        <v>19</v>
      </c>
      <c r="M68" s="10">
        <f t="shared" si="9"/>
        <v>1892112.6923076923</v>
      </c>
      <c r="N68" s="10">
        <f t="shared" si="10"/>
        <v>925449.17821782175</v>
      </c>
      <c r="O68" s="1">
        <f t="shared" si="11"/>
        <v>7</v>
      </c>
      <c r="P68" s="1">
        <f t="shared" si="12"/>
        <v>3</v>
      </c>
      <c r="Q68" s="1">
        <f t="shared" si="13"/>
        <v>4</v>
      </c>
      <c r="R68" s="6">
        <f t="shared" si="14"/>
        <v>0.63124999999999998</v>
      </c>
      <c r="S68" s="8">
        <f t="shared" si="15"/>
        <v>78.059736003256475</v>
      </c>
      <c r="T68" s="8">
        <f t="shared" si="16"/>
        <v>22.940263996743525</v>
      </c>
      <c r="U68" t="str">
        <f t="shared" si="17"/>
        <v>Mid</v>
      </c>
    </row>
    <row r="69" spans="1:21">
      <c r="A69" s="1">
        <v>653</v>
      </c>
      <c r="B69" s="2">
        <v>2002</v>
      </c>
      <c r="C69" s="1" t="s">
        <v>75</v>
      </c>
      <c r="D69" s="1" t="s">
        <v>76</v>
      </c>
      <c r="E69" s="1" t="s">
        <v>17</v>
      </c>
      <c r="F69" s="1" t="s">
        <v>32</v>
      </c>
      <c r="G69" s="9">
        <v>80282668</v>
      </c>
      <c r="H69" s="1">
        <v>97</v>
      </c>
      <c r="I69" s="1">
        <v>65</v>
      </c>
      <c r="J69" s="5">
        <v>47.1</v>
      </c>
      <c r="K69" s="1" t="s">
        <v>20</v>
      </c>
      <c r="L69" s="1" t="s">
        <v>19</v>
      </c>
      <c r="M69" s="10">
        <f t="shared" si="9"/>
        <v>1704515.2441613588</v>
      </c>
      <c r="N69" s="10">
        <f t="shared" si="10"/>
        <v>827656.37113402062</v>
      </c>
      <c r="O69" s="1">
        <f t="shared" si="11"/>
        <v>8</v>
      </c>
      <c r="P69" s="1">
        <f t="shared" si="12"/>
        <v>6</v>
      </c>
      <c r="Q69" s="1">
        <f t="shared" si="13"/>
        <v>2</v>
      </c>
      <c r="R69" s="6">
        <f t="shared" si="14"/>
        <v>0.59876543209876543</v>
      </c>
      <c r="S69" s="8">
        <f t="shared" si="15"/>
        <v>76.908383081746024</v>
      </c>
      <c r="T69" s="8">
        <f t="shared" si="16"/>
        <v>20.091616918253976</v>
      </c>
      <c r="U69" t="str">
        <f t="shared" si="17"/>
        <v>Mid</v>
      </c>
    </row>
    <row r="70" spans="1:21">
      <c r="A70" s="1">
        <v>185</v>
      </c>
      <c r="B70" s="2">
        <v>2002</v>
      </c>
      <c r="C70" s="1" t="s">
        <v>38</v>
      </c>
      <c r="D70" s="1" t="s">
        <v>39</v>
      </c>
      <c r="E70" s="1" t="s">
        <v>26</v>
      </c>
      <c r="F70" s="1" t="s">
        <v>35</v>
      </c>
      <c r="G70" s="9">
        <v>78909449</v>
      </c>
      <c r="H70" s="1">
        <v>74</v>
      </c>
      <c r="I70" s="1">
        <v>88</v>
      </c>
      <c r="J70" s="5">
        <v>26.4</v>
      </c>
      <c r="K70" s="1" t="s">
        <v>19</v>
      </c>
      <c r="L70" s="1" t="s">
        <v>19</v>
      </c>
      <c r="M70" s="10">
        <f t="shared" si="9"/>
        <v>2988994.2803030303</v>
      </c>
      <c r="N70" s="10">
        <f t="shared" si="10"/>
        <v>1066343.9054054054</v>
      </c>
      <c r="O70" s="1">
        <f t="shared" si="11"/>
        <v>9</v>
      </c>
      <c r="P70" s="1">
        <f t="shared" si="12"/>
        <v>20</v>
      </c>
      <c r="Q70" s="1">
        <f t="shared" si="13"/>
        <v>-11</v>
      </c>
      <c r="R70" s="6">
        <f t="shared" si="14"/>
        <v>0.4567901234567901</v>
      </c>
      <c r="S70" s="8">
        <f t="shared" si="15"/>
        <v>76.788494107367427</v>
      </c>
      <c r="T70" s="8">
        <f t="shared" si="16"/>
        <v>-2.788494107367427</v>
      </c>
      <c r="U70" t="str">
        <f t="shared" si="17"/>
        <v>Low</v>
      </c>
    </row>
    <row r="71" spans="1:21">
      <c r="A71" s="1">
        <v>627</v>
      </c>
      <c r="B71" s="2">
        <v>2002</v>
      </c>
      <c r="C71" s="1" t="s">
        <v>73</v>
      </c>
      <c r="D71" s="1" t="s">
        <v>74</v>
      </c>
      <c r="E71" s="1" t="s">
        <v>26</v>
      </c>
      <c r="F71" s="1" t="s">
        <v>46</v>
      </c>
      <c r="G71" s="9">
        <v>78299835</v>
      </c>
      <c r="H71" s="1">
        <v>93</v>
      </c>
      <c r="I71" s="1">
        <v>69</v>
      </c>
      <c r="J71" s="5">
        <v>48.2</v>
      </c>
      <c r="K71" s="1" t="s">
        <v>19</v>
      </c>
      <c r="L71" s="1" t="s">
        <v>19</v>
      </c>
      <c r="M71" s="10">
        <f t="shared" si="9"/>
        <v>1624477.9045643152</v>
      </c>
      <c r="N71" s="10">
        <f t="shared" si="10"/>
        <v>841933.70967741939</v>
      </c>
      <c r="O71" s="1">
        <f t="shared" si="11"/>
        <v>10</v>
      </c>
      <c r="P71" s="1">
        <f t="shared" si="12"/>
        <v>9</v>
      </c>
      <c r="Q71" s="1">
        <f t="shared" si="13"/>
        <v>1</v>
      </c>
      <c r="R71" s="6">
        <f t="shared" si="14"/>
        <v>0.57407407407407407</v>
      </c>
      <c r="S71" s="8">
        <f t="shared" si="15"/>
        <v>76.735271717328516</v>
      </c>
      <c r="T71" s="8">
        <f t="shared" si="16"/>
        <v>16.264728282671484</v>
      </c>
      <c r="U71" t="str">
        <f t="shared" si="17"/>
        <v>Low</v>
      </c>
    </row>
    <row r="72" spans="1:21">
      <c r="A72" s="1">
        <v>757</v>
      </c>
      <c r="B72" s="2">
        <v>2002</v>
      </c>
      <c r="C72" s="1" t="s">
        <v>83</v>
      </c>
      <c r="D72" s="1" t="s">
        <v>84</v>
      </c>
      <c r="E72" s="1" t="s">
        <v>17</v>
      </c>
      <c r="F72" s="1" t="s">
        <v>23</v>
      </c>
      <c r="G72" s="9">
        <v>76864333</v>
      </c>
      <c r="H72" s="1">
        <v>83</v>
      </c>
      <c r="I72" s="1">
        <v>79</v>
      </c>
      <c r="J72" s="5">
        <v>31.6</v>
      </c>
      <c r="K72" s="1" t="s">
        <v>19</v>
      </c>
      <c r="L72" s="1" t="s">
        <v>19</v>
      </c>
      <c r="M72" s="10">
        <f t="shared" si="9"/>
        <v>2432415.6012658225</v>
      </c>
      <c r="N72" s="10">
        <f t="shared" si="10"/>
        <v>926076.30120481923</v>
      </c>
      <c r="O72" s="1">
        <f t="shared" si="11"/>
        <v>11</v>
      </c>
      <c r="P72" s="1">
        <f t="shared" si="12"/>
        <v>13</v>
      </c>
      <c r="Q72" s="1">
        <f t="shared" si="13"/>
        <v>-2</v>
      </c>
      <c r="R72" s="6">
        <f t="shared" si="14"/>
        <v>0.51234567901234573</v>
      </c>
      <c r="S72" s="8">
        <f t="shared" si="15"/>
        <v>76.609945121571812</v>
      </c>
      <c r="T72" s="8">
        <f t="shared" si="16"/>
        <v>6.3900548784281881</v>
      </c>
      <c r="U72" t="str">
        <f t="shared" si="17"/>
        <v>Low</v>
      </c>
    </row>
    <row r="73" spans="1:21">
      <c r="A73" s="1">
        <v>107</v>
      </c>
      <c r="B73" s="2">
        <v>2002</v>
      </c>
      <c r="C73" s="1" t="s">
        <v>30</v>
      </c>
      <c r="D73" s="1" t="s">
        <v>31</v>
      </c>
      <c r="E73" s="1" t="s">
        <v>17</v>
      </c>
      <c r="F73" s="1" t="s">
        <v>32</v>
      </c>
      <c r="G73" s="9">
        <v>75690833</v>
      </c>
      <c r="H73" s="1">
        <v>67</v>
      </c>
      <c r="I73" s="1">
        <v>95</v>
      </c>
      <c r="J73" s="5">
        <v>25.8</v>
      </c>
      <c r="K73" s="1" t="s">
        <v>19</v>
      </c>
      <c r="L73" s="1" t="s">
        <v>19</v>
      </c>
      <c r="M73" s="10">
        <f t="shared" si="9"/>
        <v>2933753.2170542637</v>
      </c>
      <c r="N73" s="10">
        <f t="shared" si="10"/>
        <v>1129713.9253731344</v>
      </c>
      <c r="O73" s="1">
        <f t="shared" si="11"/>
        <v>12</v>
      </c>
      <c r="P73" s="1">
        <f t="shared" si="12"/>
        <v>24</v>
      </c>
      <c r="Q73" s="1">
        <f t="shared" si="13"/>
        <v>-12</v>
      </c>
      <c r="R73" s="6">
        <f t="shared" si="14"/>
        <v>0.41358024691358025</v>
      </c>
      <c r="S73" s="8">
        <f t="shared" si="15"/>
        <v>76.507492627517138</v>
      </c>
      <c r="T73" s="8">
        <f t="shared" si="16"/>
        <v>-9.5074926275171379</v>
      </c>
      <c r="U73" t="str">
        <f t="shared" si="17"/>
        <v>Low</v>
      </c>
    </row>
    <row r="74" spans="1:21">
      <c r="A74" s="1">
        <v>679</v>
      </c>
      <c r="B74" s="2">
        <v>2002</v>
      </c>
      <c r="C74" s="1" t="s">
        <v>77</v>
      </c>
      <c r="D74" s="1" t="s">
        <v>78</v>
      </c>
      <c r="E74" s="1" t="s">
        <v>26</v>
      </c>
      <c r="F74" s="1" t="s">
        <v>27</v>
      </c>
      <c r="G74" s="9">
        <v>74660875</v>
      </c>
      <c r="H74" s="1">
        <v>55</v>
      </c>
      <c r="I74" s="1">
        <v>106</v>
      </c>
      <c r="J74" s="5">
        <v>46.5</v>
      </c>
      <c r="K74" s="1" t="s">
        <v>19</v>
      </c>
      <c r="L74" s="1" t="s">
        <v>19</v>
      </c>
      <c r="M74" s="10">
        <f t="shared" si="9"/>
        <v>1605610.2150537635</v>
      </c>
      <c r="N74" s="10">
        <f t="shared" si="10"/>
        <v>1357470.4545454546</v>
      </c>
      <c r="O74" s="1">
        <f t="shared" si="11"/>
        <v>13</v>
      </c>
      <c r="P74" s="1">
        <f t="shared" si="12"/>
        <v>29</v>
      </c>
      <c r="Q74" s="1">
        <f t="shared" si="13"/>
        <v>-16</v>
      </c>
      <c r="R74" s="6">
        <f t="shared" si="14"/>
        <v>0.34161490683229812</v>
      </c>
      <c r="S74" s="8">
        <f t="shared" si="15"/>
        <v>76.417572077136583</v>
      </c>
      <c r="T74" s="8">
        <f t="shared" si="16"/>
        <v>-21.417572077136583</v>
      </c>
      <c r="U74" t="str">
        <f t="shared" si="17"/>
        <v>Low</v>
      </c>
    </row>
    <row r="75" spans="1:21">
      <c r="A75" s="1">
        <v>289</v>
      </c>
      <c r="B75" s="2">
        <v>2002</v>
      </c>
      <c r="C75" s="1" t="s">
        <v>47</v>
      </c>
      <c r="D75" s="1" t="s">
        <v>48</v>
      </c>
      <c r="E75" s="1" t="s">
        <v>26</v>
      </c>
      <c r="F75" s="1" t="s">
        <v>35</v>
      </c>
      <c r="G75" s="9">
        <v>63448417</v>
      </c>
      <c r="H75" s="1">
        <v>62</v>
      </c>
      <c r="I75" s="1">
        <v>100</v>
      </c>
      <c r="J75" s="5">
        <v>38.9</v>
      </c>
      <c r="K75" s="1" t="s">
        <v>19</v>
      </c>
      <c r="L75" s="1" t="s">
        <v>19</v>
      </c>
      <c r="M75" s="10">
        <f t="shared" si="9"/>
        <v>1631064.7043701799</v>
      </c>
      <c r="N75" s="10">
        <f t="shared" si="10"/>
        <v>1023361.5645161291</v>
      </c>
      <c r="O75" s="1">
        <f t="shared" si="11"/>
        <v>14</v>
      </c>
      <c r="P75" s="1">
        <f t="shared" si="12"/>
        <v>27</v>
      </c>
      <c r="Q75" s="1">
        <f t="shared" si="13"/>
        <v>-13</v>
      </c>
      <c r="R75" s="6">
        <f t="shared" si="14"/>
        <v>0.38271604938271603</v>
      </c>
      <c r="S75" s="8">
        <f t="shared" si="15"/>
        <v>75.438667699988358</v>
      </c>
      <c r="T75" s="8">
        <f t="shared" si="16"/>
        <v>-13.438667699988358</v>
      </c>
      <c r="U75" t="str">
        <f t="shared" si="17"/>
        <v>Low</v>
      </c>
    </row>
    <row r="76" spans="1:21">
      <c r="A76" s="1">
        <v>341</v>
      </c>
      <c r="B76" s="2">
        <v>2002</v>
      </c>
      <c r="C76" s="1" t="s">
        <v>51</v>
      </c>
      <c r="D76" s="1" t="s">
        <v>52</v>
      </c>
      <c r="E76" s="1" t="s">
        <v>17</v>
      </c>
      <c r="F76" s="1" t="s">
        <v>18</v>
      </c>
      <c r="G76" s="9">
        <v>61721667</v>
      </c>
      <c r="H76" s="1">
        <v>92</v>
      </c>
      <c r="I76" s="1">
        <v>70</v>
      </c>
      <c r="J76" s="5">
        <v>45.9</v>
      </c>
      <c r="K76" s="1" t="s">
        <v>19</v>
      </c>
      <c r="L76" s="1" t="s">
        <v>19</v>
      </c>
      <c r="M76" s="10">
        <f t="shared" si="9"/>
        <v>1344698.6274509805</v>
      </c>
      <c r="N76" s="10">
        <f t="shared" si="10"/>
        <v>670887.68478260865</v>
      </c>
      <c r="O76" s="1">
        <f t="shared" si="11"/>
        <v>15</v>
      </c>
      <c r="P76" s="1">
        <f t="shared" si="12"/>
        <v>11</v>
      </c>
      <c r="Q76" s="1">
        <f t="shared" si="13"/>
        <v>4</v>
      </c>
      <c r="R76" s="6">
        <f t="shared" si="14"/>
        <v>0.5679012345679012</v>
      </c>
      <c r="S76" s="8">
        <f t="shared" si="15"/>
        <v>75.287913678591735</v>
      </c>
      <c r="T76" s="8">
        <f t="shared" si="16"/>
        <v>16.712086321408265</v>
      </c>
      <c r="U76" t="str">
        <f t="shared" si="17"/>
        <v>Low</v>
      </c>
    </row>
    <row r="77" spans="1:21">
      <c r="A77" s="1">
        <v>55</v>
      </c>
      <c r="B77" s="2">
        <v>2002</v>
      </c>
      <c r="C77" s="1" t="s">
        <v>24</v>
      </c>
      <c r="D77" s="1" t="s">
        <v>25</v>
      </c>
      <c r="E77" s="1" t="s">
        <v>26</v>
      </c>
      <c r="F77" s="1" t="s">
        <v>27</v>
      </c>
      <c r="G77" s="9">
        <v>60493487</v>
      </c>
      <c r="H77" s="1">
        <v>67</v>
      </c>
      <c r="I77" s="1">
        <v>95</v>
      </c>
      <c r="J77" s="5">
        <v>24.5</v>
      </c>
      <c r="K77" s="1" t="s">
        <v>19</v>
      </c>
      <c r="L77" s="1" t="s">
        <v>19</v>
      </c>
      <c r="M77" s="10">
        <f t="shared" si="9"/>
        <v>2469121.9183673467</v>
      </c>
      <c r="N77" s="10">
        <f t="shared" si="10"/>
        <v>902887.86567164178</v>
      </c>
      <c r="O77" s="1">
        <f t="shared" si="11"/>
        <v>16</v>
      </c>
      <c r="P77" s="1">
        <f t="shared" si="12"/>
        <v>24</v>
      </c>
      <c r="Q77" s="1">
        <f t="shared" si="13"/>
        <v>-8</v>
      </c>
      <c r="R77" s="6">
        <f t="shared" si="14"/>
        <v>0.41358024691358025</v>
      </c>
      <c r="S77" s="8">
        <f t="shared" si="15"/>
        <v>75.180687343569943</v>
      </c>
      <c r="T77" s="8">
        <f t="shared" si="16"/>
        <v>-8.180687343569943</v>
      </c>
      <c r="U77" t="str">
        <f t="shared" si="17"/>
        <v>Low</v>
      </c>
    </row>
    <row r="78" spans="1:21">
      <c r="A78" s="1">
        <v>549</v>
      </c>
      <c r="B78" s="2">
        <v>2002</v>
      </c>
      <c r="C78" s="1" t="s">
        <v>67</v>
      </c>
      <c r="D78" s="1" t="s">
        <v>68</v>
      </c>
      <c r="E78" s="1" t="s">
        <v>17</v>
      </c>
      <c r="F78" s="1" t="s">
        <v>32</v>
      </c>
      <c r="G78" s="9">
        <v>57954999</v>
      </c>
      <c r="H78" s="1">
        <v>72</v>
      </c>
      <c r="I78" s="1">
        <v>89</v>
      </c>
      <c r="J78" s="5">
        <v>33.700000000000003</v>
      </c>
      <c r="K78" s="1" t="s">
        <v>19</v>
      </c>
      <c r="L78" s="1" t="s">
        <v>19</v>
      </c>
      <c r="M78" s="10">
        <f t="shared" si="9"/>
        <v>1719732.9080118693</v>
      </c>
      <c r="N78" s="10">
        <f t="shared" si="10"/>
        <v>804930.54166666663</v>
      </c>
      <c r="O78" s="1">
        <f t="shared" si="11"/>
        <v>17</v>
      </c>
      <c r="P78" s="1">
        <f t="shared" si="12"/>
        <v>22</v>
      </c>
      <c r="Q78" s="1">
        <f t="shared" si="13"/>
        <v>-5</v>
      </c>
      <c r="R78" s="6">
        <f t="shared" si="14"/>
        <v>0.44720496894409939</v>
      </c>
      <c r="S78" s="8">
        <f t="shared" si="15"/>
        <v>74.959064483128614</v>
      </c>
      <c r="T78" s="8">
        <f t="shared" si="16"/>
        <v>-2.9590644831286141</v>
      </c>
      <c r="U78" t="str">
        <f t="shared" si="17"/>
        <v>Low</v>
      </c>
    </row>
    <row r="79" spans="1:21">
      <c r="A79" s="1">
        <v>133</v>
      </c>
      <c r="B79" s="2">
        <v>2002</v>
      </c>
      <c r="C79" s="1" t="s">
        <v>33</v>
      </c>
      <c r="D79" s="1" t="s">
        <v>34</v>
      </c>
      <c r="E79" s="1" t="s">
        <v>26</v>
      </c>
      <c r="F79" s="1" t="s">
        <v>35</v>
      </c>
      <c r="G79" s="9">
        <v>57052833</v>
      </c>
      <c r="H79" s="1">
        <v>81</v>
      </c>
      <c r="I79" s="1">
        <v>81</v>
      </c>
      <c r="J79" s="5">
        <v>34.700000000000003</v>
      </c>
      <c r="K79" s="1" t="s">
        <v>19</v>
      </c>
      <c r="L79" s="1" t="s">
        <v>19</v>
      </c>
      <c r="M79" s="10">
        <f t="shared" si="9"/>
        <v>1644173.8616714696</v>
      </c>
      <c r="N79" s="10">
        <f t="shared" si="10"/>
        <v>704355.96296296292</v>
      </c>
      <c r="O79" s="1">
        <f t="shared" si="11"/>
        <v>18</v>
      </c>
      <c r="P79" s="1">
        <f t="shared" si="12"/>
        <v>14</v>
      </c>
      <c r="Q79" s="1">
        <f t="shared" si="13"/>
        <v>4</v>
      </c>
      <c r="R79" s="6">
        <f t="shared" si="14"/>
        <v>0.5</v>
      </c>
      <c r="S79" s="8">
        <f t="shared" si="15"/>
        <v>74.880300821644724</v>
      </c>
      <c r="T79" s="8">
        <f t="shared" si="16"/>
        <v>6.1196991783552761</v>
      </c>
      <c r="U79" t="str">
        <f t="shared" si="17"/>
        <v>Low</v>
      </c>
    </row>
    <row r="80" spans="1:21">
      <c r="A80" s="1">
        <v>211</v>
      </c>
      <c r="B80" s="2">
        <v>2002</v>
      </c>
      <c r="C80" s="1" t="s">
        <v>40</v>
      </c>
      <c r="D80" s="1" t="s">
        <v>41</v>
      </c>
      <c r="E80" s="1" t="s">
        <v>17</v>
      </c>
      <c r="F80" s="1" t="s">
        <v>18</v>
      </c>
      <c r="G80" s="9">
        <v>56851043</v>
      </c>
      <c r="H80" s="1">
        <v>73</v>
      </c>
      <c r="I80" s="1">
        <v>89</v>
      </c>
      <c r="J80" s="5">
        <v>24.1</v>
      </c>
      <c r="K80" s="1" t="s">
        <v>19</v>
      </c>
      <c r="L80" s="1" t="s">
        <v>19</v>
      </c>
      <c r="M80" s="10">
        <f t="shared" si="9"/>
        <v>2358964.4398340248</v>
      </c>
      <c r="N80" s="10">
        <f t="shared" si="10"/>
        <v>778781.41095890407</v>
      </c>
      <c r="O80" s="1">
        <f t="shared" si="11"/>
        <v>19</v>
      </c>
      <c r="P80" s="1">
        <f t="shared" si="12"/>
        <v>21</v>
      </c>
      <c r="Q80" s="1">
        <f t="shared" si="13"/>
        <v>-2</v>
      </c>
      <c r="R80" s="6">
        <f t="shared" si="14"/>
        <v>0.45061728395061729</v>
      </c>
      <c r="S80" s="8">
        <f t="shared" si="15"/>
        <v>74.86268353253071</v>
      </c>
      <c r="T80" s="8">
        <f t="shared" si="16"/>
        <v>-1.8626835325307098</v>
      </c>
      <c r="U80" t="str">
        <f t="shared" si="17"/>
        <v>Low</v>
      </c>
    </row>
    <row r="81" spans="1:21">
      <c r="A81" s="1">
        <v>237</v>
      </c>
      <c r="B81" s="2">
        <v>2002</v>
      </c>
      <c r="C81" s="1" t="s">
        <v>42</v>
      </c>
      <c r="D81" s="1" t="s">
        <v>43</v>
      </c>
      <c r="E81" s="1" t="s">
        <v>26</v>
      </c>
      <c r="F81" s="1" t="s">
        <v>35</v>
      </c>
      <c r="G81" s="9">
        <v>55048000</v>
      </c>
      <c r="H81" s="1">
        <v>55</v>
      </c>
      <c r="I81" s="1">
        <v>106</v>
      </c>
      <c r="J81" s="5">
        <v>14.8</v>
      </c>
      <c r="K81" s="1" t="s">
        <v>19</v>
      </c>
      <c r="L81" s="1" t="s">
        <v>19</v>
      </c>
      <c r="M81" s="10">
        <f t="shared" si="9"/>
        <v>3719459.4594594594</v>
      </c>
      <c r="N81" s="10">
        <f t="shared" si="10"/>
        <v>1000872.7272727273</v>
      </c>
      <c r="O81" s="1">
        <f t="shared" si="11"/>
        <v>20</v>
      </c>
      <c r="P81" s="1">
        <f t="shared" si="12"/>
        <v>29</v>
      </c>
      <c r="Q81" s="1">
        <f t="shared" si="13"/>
        <v>-9</v>
      </c>
      <c r="R81" s="6">
        <f t="shared" si="14"/>
        <v>0.34161490683229812</v>
      </c>
      <c r="S81" s="8">
        <f t="shared" si="15"/>
        <v>74.705268745792026</v>
      </c>
      <c r="T81" s="8">
        <f t="shared" si="16"/>
        <v>-19.705268745792026</v>
      </c>
      <c r="U81" t="str">
        <f t="shared" si="17"/>
        <v>Low</v>
      </c>
    </row>
    <row r="82" spans="1:21">
      <c r="A82" s="1">
        <v>393</v>
      </c>
      <c r="B82" s="2">
        <v>2002</v>
      </c>
      <c r="C82" s="1" t="s">
        <v>55</v>
      </c>
      <c r="D82" s="1" t="s">
        <v>56</v>
      </c>
      <c r="E82" s="1" t="s">
        <v>17</v>
      </c>
      <c r="F82" s="1" t="s">
        <v>32</v>
      </c>
      <c r="G82" s="9">
        <v>50287833</v>
      </c>
      <c r="H82" s="1">
        <v>56</v>
      </c>
      <c r="I82" s="1">
        <v>106</v>
      </c>
      <c r="J82" s="5">
        <v>16.5</v>
      </c>
      <c r="K82" s="1" t="s">
        <v>19</v>
      </c>
      <c r="L82" s="1" t="s">
        <v>19</v>
      </c>
      <c r="M82" s="10">
        <f t="shared" si="9"/>
        <v>3047747.4545454546</v>
      </c>
      <c r="N82" s="10">
        <f t="shared" si="10"/>
        <v>897997.01785714284</v>
      </c>
      <c r="O82" s="1">
        <f t="shared" si="11"/>
        <v>21</v>
      </c>
      <c r="P82" s="1">
        <f t="shared" si="12"/>
        <v>28</v>
      </c>
      <c r="Q82" s="1">
        <f t="shared" si="13"/>
        <v>-7</v>
      </c>
      <c r="R82" s="6">
        <f t="shared" si="14"/>
        <v>0.34567901234567899</v>
      </c>
      <c r="S82" s="8">
        <f t="shared" si="15"/>
        <v>74.289682055321791</v>
      </c>
      <c r="T82" s="8">
        <f t="shared" si="16"/>
        <v>-18.289682055321791</v>
      </c>
      <c r="U82" t="str">
        <f t="shared" si="17"/>
        <v>Low</v>
      </c>
    </row>
    <row r="83" spans="1:21">
      <c r="A83" s="1">
        <v>315</v>
      </c>
      <c r="B83" s="2">
        <v>2002</v>
      </c>
      <c r="C83" s="1" t="s">
        <v>49</v>
      </c>
      <c r="D83" s="1" t="s">
        <v>50</v>
      </c>
      <c r="E83" s="1" t="s">
        <v>26</v>
      </c>
      <c r="F83" s="1" t="s">
        <v>46</v>
      </c>
      <c r="G83" s="9">
        <v>47257000</v>
      </c>
      <c r="H83" s="1">
        <v>99</v>
      </c>
      <c r="I83" s="1">
        <v>63</v>
      </c>
      <c r="J83" s="5">
        <v>21.2</v>
      </c>
      <c r="K83" s="1" t="s">
        <v>20</v>
      </c>
      <c r="L83" s="1" t="s">
        <v>20</v>
      </c>
      <c r="M83" s="10">
        <f t="shared" si="9"/>
        <v>2229103.7735849055</v>
      </c>
      <c r="N83" s="10">
        <f t="shared" si="10"/>
        <v>477343.43434343435</v>
      </c>
      <c r="O83" s="1">
        <f t="shared" si="11"/>
        <v>22</v>
      </c>
      <c r="P83" s="1">
        <f t="shared" si="12"/>
        <v>4</v>
      </c>
      <c r="Q83" s="1">
        <f t="shared" si="13"/>
        <v>18</v>
      </c>
      <c r="R83" s="6">
        <f t="shared" si="14"/>
        <v>0.61111111111111116</v>
      </c>
      <c r="S83" s="8">
        <f t="shared" si="15"/>
        <v>74.025074982536751</v>
      </c>
      <c r="T83" s="8">
        <f t="shared" si="16"/>
        <v>24.974925017463249</v>
      </c>
      <c r="U83" t="str">
        <f t="shared" si="17"/>
        <v>Low</v>
      </c>
    </row>
    <row r="84" spans="1:21">
      <c r="A84" s="1">
        <v>159</v>
      </c>
      <c r="B84" s="2">
        <v>2002</v>
      </c>
      <c r="C84" s="1" t="s">
        <v>36</v>
      </c>
      <c r="D84" s="1" t="s">
        <v>37</v>
      </c>
      <c r="E84" s="1" t="s">
        <v>17</v>
      </c>
      <c r="F84" s="1" t="s">
        <v>32</v>
      </c>
      <c r="G84" s="9">
        <v>45050390</v>
      </c>
      <c r="H84" s="1">
        <v>78</v>
      </c>
      <c r="I84" s="1">
        <v>84</v>
      </c>
      <c r="J84" s="5">
        <v>29.9</v>
      </c>
      <c r="K84" s="1" t="s">
        <v>19</v>
      </c>
      <c r="L84" s="1" t="s">
        <v>19</v>
      </c>
      <c r="M84" s="10">
        <f t="shared" si="9"/>
        <v>1506702.0066889634</v>
      </c>
      <c r="N84" s="10">
        <f t="shared" si="10"/>
        <v>577569.10256410262</v>
      </c>
      <c r="O84" s="1">
        <f t="shared" si="11"/>
        <v>23</v>
      </c>
      <c r="P84" s="1">
        <f t="shared" si="12"/>
        <v>17</v>
      </c>
      <c r="Q84" s="1">
        <f t="shared" si="13"/>
        <v>6</v>
      </c>
      <c r="R84" s="6">
        <f t="shared" si="14"/>
        <v>0.48148148148148145</v>
      </c>
      <c r="S84" s="8">
        <f t="shared" si="15"/>
        <v>73.832426752535881</v>
      </c>
      <c r="T84" s="8">
        <f t="shared" si="16"/>
        <v>4.1675732474641194</v>
      </c>
      <c r="U84" t="str">
        <f t="shared" si="17"/>
        <v>Low</v>
      </c>
    </row>
    <row r="85" spans="1:21">
      <c r="A85" s="1">
        <v>575</v>
      </c>
      <c r="B85" s="2">
        <v>2002</v>
      </c>
      <c r="C85" s="1" t="s">
        <v>69</v>
      </c>
      <c r="D85" s="1" t="s">
        <v>70</v>
      </c>
      <c r="E85" s="1" t="s">
        <v>17</v>
      </c>
      <c r="F85" s="1" t="s">
        <v>18</v>
      </c>
      <c r="G85" s="9">
        <v>42323599</v>
      </c>
      <c r="H85" s="1">
        <v>66</v>
      </c>
      <c r="I85" s="1">
        <v>96</v>
      </c>
      <c r="J85" s="5">
        <v>26.8</v>
      </c>
      <c r="K85" s="1" t="s">
        <v>19</v>
      </c>
      <c r="L85" s="1" t="s">
        <v>19</v>
      </c>
      <c r="M85" s="10">
        <f t="shared" si="9"/>
        <v>1579238.7686567164</v>
      </c>
      <c r="N85" s="10">
        <f t="shared" si="10"/>
        <v>641266.65151515149</v>
      </c>
      <c r="O85" s="1">
        <f t="shared" si="11"/>
        <v>24</v>
      </c>
      <c r="P85" s="1">
        <f t="shared" si="12"/>
        <v>26</v>
      </c>
      <c r="Q85" s="1">
        <f t="shared" si="13"/>
        <v>-2</v>
      </c>
      <c r="R85" s="6">
        <f t="shared" si="14"/>
        <v>0.40740740740740738</v>
      </c>
      <c r="S85" s="8">
        <f t="shared" si="15"/>
        <v>73.594364086395387</v>
      </c>
      <c r="T85" s="8">
        <f t="shared" si="16"/>
        <v>-7.5943640863953874</v>
      </c>
      <c r="U85" t="str">
        <f t="shared" si="17"/>
        <v>Low</v>
      </c>
    </row>
    <row r="86" spans="1:21">
      <c r="A86" s="1">
        <v>263</v>
      </c>
      <c r="B86" s="2">
        <v>2002</v>
      </c>
      <c r="C86" s="1" t="s">
        <v>44</v>
      </c>
      <c r="D86" s="1" t="s">
        <v>45</v>
      </c>
      <c r="E86" s="1" t="s">
        <v>26</v>
      </c>
      <c r="F86" s="1" t="s">
        <v>46</v>
      </c>
      <c r="G86" s="9">
        <v>41979917</v>
      </c>
      <c r="H86" s="1">
        <v>84</v>
      </c>
      <c r="I86" s="1">
        <v>78</v>
      </c>
      <c r="J86" s="5">
        <v>31.3</v>
      </c>
      <c r="K86" s="1" t="s">
        <v>19</v>
      </c>
      <c r="L86" s="1" t="s">
        <v>19</v>
      </c>
      <c r="M86" s="10">
        <f t="shared" si="9"/>
        <v>1341211.4057507988</v>
      </c>
      <c r="N86" s="10">
        <f t="shared" si="10"/>
        <v>499760.91666666669</v>
      </c>
      <c r="O86" s="1">
        <f t="shared" si="11"/>
        <v>25</v>
      </c>
      <c r="P86" s="1">
        <f t="shared" si="12"/>
        <v>12</v>
      </c>
      <c r="Q86" s="1">
        <f t="shared" si="13"/>
        <v>13</v>
      </c>
      <c r="R86" s="6">
        <f t="shared" si="14"/>
        <v>0.51851851851851849</v>
      </c>
      <c r="S86" s="8">
        <f t="shared" si="15"/>
        <v>73.56435890696487</v>
      </c>
      <c r="T86" s="8">
        <f t="shared" si="16"/>
        <v>10.43564109303513</v>
      </c>
      <c r="U86" t="str">
        <f t="shared" si="17"/>
        <v>Low</v>
      </c>
    </row>
    <row r="87" spans="1:21">
      <c r="A87" s="1">
        <v>601</v>
      </c>
      <c r="B87" s="2">
        <v>2002</v>
      </c>
      <c r="C87" s="1" t="s">
        <v>71</v>
      </c>
      <c r="D87" s="1" t="s">
        <v>72</v>
      </c>
      <c r="E87" s="1" t="s">
        <v>17</v>
      </c>
      <c r="F87" s="1" t="s">
        <v>18</v>
      </c>
      <c r="G87" s="9">
        <v>41425000</v>
      </c>
      <c r="H87" s="1">
        <v>95</v>
      </c>
      <c r="I87" s="1">
        <v>66</v>
      </c>
      <c r="J87" s="5">
        <v>22.5</v>
      </c>
      <c r="K87" s="1" t="s">
        <v>20</v>
      </c>
      <c r="L87" s="1" t="s">
        <v>19</v>
      </c>
      <c r="M87" s="10">
        <f t="shared" si="9"/>
        <v>1841111.111111111</v>
      </c>
      <c r="N87" s="10">
        <f t="shared" si="10"/>
        <v>436052.63157894736</v>
      </c>
      <c r="O87" s="1">
        <f t="shared" si="11"/>
        <v>26</v>
      </c>
      <c r="P87" s="1">
        <f t="shared" si="12"/>
        <v>7</v>
      </c>
      <c r="Q87" s="1">
        <f t="shared" si="13"/>
        <v>19</v>
      </c>
      <c r="R87" s="6">
        <f t="shared" si="14"/>
        <v>0.59006211180124224</v>
      </c>
      <c r="S87" s="8">
        <f t="shared" si="15"/>
        <v>73.515911842079191</v>
      </c>
      <c r="T87" s="8">
        <f t="shared" si="16"/>
        <v>21.484088157920809</v>
      </c>
      <c r="U87" t="str">
        <f t="shared" si="17"/>
        <v>Low</v>
      </c>
    </row>
    <row r="88" spans="1:21">
      <c r="A88" s="1">
        <v>419</v>
      </c>
      <c r="B88" s="2">
        <v>2002</v>
      </c>
      <c r="C88" s="1" t="s">
        <v>57</v>
      </c>
      <c r="D88" s="1" t="s">
        <v>58</v>
      </c>
      <c r="E88" s="1" t="s">
        <v>26</v>
      </c>
      <c r="F88" s="1" t="s">
        <v>35</v>
      </c>
      <c r="G88" s="9">
        <v>40225000</v>
      </c>
      <c r="H88" s="1">
        <v>94</v>
      </c>
      <c r="I88" s="1">
        <v>67</v>
      </c>
      <c r="J88" s="5">
        <v>42.1</v>
      </c>
      <c r="K88" s="1" t="s">
        <v>20</v>
      </c>
      <c r="L88" s="1" t="s">
        <v>19</v>
      </c>
      <c r="M88" s="10">
        <f t="shared" si="9"/>
        <v>955463.18289786216</v>
      </c>
      <c r="N88" s="10">
        <f t="shared" si="10"/>
        <v>427925.5319148936</v>
      </c>
      <c r="O88" s="1">
        <f t="shared" si="11"/>
        <v>27</v>
      </c>
      <c r="P88" s="1">
        <f t="shared" si="12"/>
        <v>8</v>
      </c>
      <c r="Q88" s="1">
        <f t="shared" si="13"/>
        <v>19</v>
      </c>
      <c r="R88" s="6">
        <f t="shared" si="14"/>
        <v>0.58385093167701863</v>
      </c>
      <c r="S88" s="8">
        <f t="shared" si="15"/>
        <v>73.411145763795744</v>
      </c>
      <c r="T88" s="8">
        <f t="shared" si="16"/>
        <v>20.588854236204256</v>
      </c>
      <c r="U88" t="str">
        <f t="shared" si="17"/>
        <v>Low</v>
      </c>
    </row>
    <row r="89" spans="1:21">
      <c r="A89" s="1">
        <v>523</v>
      </c>
      <c r="B89" s="2">
        <v>2002</v>
      </c>
      <c r="C89" s="1" t="s">
        <v>65</v>
      </c>
      <c r="D89" s="1" t="s">
        <v>66</v>
      </c>
      <c r="E89" s="1" t="s">
        <v>17</v>
      </c>
      <c r="F89" s="1" t="s">
        <v>23</v>
      </c>
      <c r="G89" s="9">
        <v>40004167</v>
      </c>
      <c r="H89" s="1">
        <v>80</v>
      </c>
      <c r="I89" s="1">
        <v>81</v>
      </c>
      <c r="J89" s="5">
        <v>51.2</v>
      </c>
      <c r="K89" s="1" t="s">
        <v>19</v>
      </c>
      <c r="L89" s="1" t="s">
        <v>19</v>
      </c>
      <c r="M89" s="10">
        <f t="shared" si="9"/>
        <v>781331.38671875</v>
      </c>
      <c r="N89" s="10">
        <f t="shared" si="10"/>
        <v>500052.08750000002</v>
      </c>
      <c r="O89" s="1">
        <f t="shared" si="11"/>
        <v>28</v>
      </c>
      <c r="P89" s="1">
        <f t="shared" si="12"/>
        <v>15</v>
      </c>
      <c r="Q89" s="1">
        <f t="shared" si="13"/>
        <v>13</v>
      </c>
      <c r="R89" s="6">
        <f t="shared" si="14"/>
        <v>0.49689440993788819</v>
      </c>
      <c r="S89" s="8">
        <f t="shared" si="15"/>
        <v>73.391865924324435</v>
      </c>
      <c r="T89" s="8">
        <f t="shared" si="16"/>
        <v>6.6081340756755651</v>
      </c>
      <c r="U89" t="str">
        <f t="shared" si="17"/>
        <v>Low</v>
      </c>
    </row>
    <row r="90" spans="1:21">
      <c r="A90" s="1">
        <v>445</v>
      </c>
      <c r="B90" s="2">
        <v>2002</v>
      </c>
      <c r="C90" s="1" t="s">
        <v>59</v>
      </c>
      <c r="D90" s="1" t="s">
        <v>60</v>
      </c>
      <c r="E90" s="1" t="s">
        <v>17</v>
      </c>
      <c r="F90" s="1" t="s">
        <v>23</v>
      </c>
      <c r="G90" s="9">
        <v>38670500</v>
      </c>
      <c r="H90" s="1">
        <v>75</v>
      </c>
      <c r="I90" s="1">
        <v>86</v>
      </c>
      <c r="J90" s="5">
        <v>37.6</v>
      </c>
      <c r="K90" s="1" t="s">
        <v>19</v>
      </c>
      <c r="L90" s="1" t="s">
        <v>19</v>
      </c>
      <c r="M90" s="10">
        <f t="shared" si="9"/>
        <v>1028470.744680851</v>
      </c>
      <c r="N90" s="10">
        <f t="shared" si="10"/>
        <v>515606.66666666669</v>
      </c>
      <c r="O90" s="1">
        <f t="shared" si="11"/>
        <v>29</v>
      </c>
      <c r="P90" s="1">
        <f t="shared" si="12"/>
        <v>19</v>
      </c>
      <c r="Q90" s="1">
        <f t="shared" si="13"/>
        <v>10</v>
      </c>
      <c r="R90" s="6">
        <f t="shared" si="14"/>
        <v>0.46583850931677018</v>
      </c>
      <c r="S90" s="8">
        <f t="shared" si="15"/>
        <v>73.275430039886061</v>
      </c>
      <c r="T90" s="8">
        <f t="shared" si="16"/>
        <v>1.7245699601139393</v>
      </c>
      <c r="U90" t="str">
        <f t="shared" si="17"/>
        <v>Low</v>
      </c>
    </row>
    <row r="91" spans="1:21">
      <c r="A91" s="1">
        <v>705</v>
      </c>
      <c r="B91" s="2">
        <v>2002</v>
      </c>
      <c r="C91" s="1" t="s">
        <v>79</v>
      </c>
      <c r="D91" s="1" t="s">
        <v>80</v>
      </c>
      <c r="E91" s="1" t="s">
        <v>26</v>
      </c>
      <c r="F91" s="1" t="s">
        <v>46</v>
      </c>
      <c r="G91" s="9">
        <v>34380000</v>
      </c>
      <c r="H91" s="1">
        <v>72</v>
      </c>
      <c r="I91" s="1">
        <v>90</v>
      </c>
      <c r="J91" s="5">
        <v>15.4</v>
      </c>
      <c r="K91" s="1" t="s">
        <v>19</v>
      </c>
      <c r="L91" s="1" t="s">
        <v>19</v>
      </c>
      <c r="M91" s="10">
        <f t="shared" si="9"/>
        <v>2232467.5324675324</v>
      </c>
      <c r="N91" s="10">
        <f t="shared" si="10"/>
        <v>477500</v>
      </c>
      <c r="O91" s="1">
        <f t="shared" si="11"/>
        <v>30</v>
      </c>
      <c r="P91" s="1">
        <f t="shared" si="12"/>
        <v>22</v>
      </c>
      <c r="Q91" s="1">
        <f t="shared" si="13"/>
        <v>8</v>
      </c>
      <c r="R91" s="6">
        <f t="shared" si="14"/>
        <v>0.44444444444444442</v>
      </c>
      <c r="S91" s="8">
        <f t="shared" si="15"/>
        <v>72.900847657490118</v>
      </c>
      <c r="T91" s="8">
        <f t="shared" si="16"/>
        <v>-0.90084765749011808</v>
      </c>
      <c r="U91" t="str">
        <f t="shared" si="17"/>
        <v>Low</v>
      </c>
    </row>
    <row r="92" spans="1:21">
      <c r="A92" s="1">
        <v>498</v>
      </c>
      <c r="B92" s="2">
        <v>2003</v>
      </c>
      <c r="C92" s="1" t="s">
        <v>63</v>
      </c>
      <c r="D92" s="1" t="s">
        <v>64</v>
      </c>
      <c r="E92" s="1" t="s">
        <v>26</v>
      </c>
      <c r="F92" s="1" t="s">
        <v>46</v>
      </c>
      <c r="G92" s="9">
        <v>152749814</v>
      </c>
      <c r="H92" s="1">
        <v>96</v>
      </c>
      <c r="I92" s="1">
        <v>66</v>
      </c>
      <c r="J92" s="5">
        <v>48.1</v>
      </c>
      <c r="K92" s="1" t="s">
        <v>20</v>
      </c>
      <c r="L92" s="1" t="s">
        <v>19</v>
      </c>
      <c r="M92" s="10">
        <f t="shared" si="9"/>
        <v>3175671.8087318088</v>
      </c>
      <c r="N92" s="10">
        <f t="shared" si="10"/>
        <v>1591143.8958333333</v>
      </c>
      <c r="O92" s="1">
        <f t="shared" si="11"/>
        <v>1</v>
      </c>
      <c r="P92" s="1">
        <f t="shared" si="12"/>
        <v>4</v>
      </c>
      <c r="Q92" s="1">
        <f t="shared" si="13"/>
        <v>-3</v>
      </c>
      <c r="R92" s="6">
        <f t="shared" si="14"/>
        <v>0.59259259259259256</v>
      </c>
      <c r="S92" s="8">
        <f t="shared" si="15"/>
        <v>83.235131990757679</v>
      </c>
      <c r="T92" s="8">
        <f t="shared" si="16"/>
        <v>12.764868009242321</v>
      </c>
      <c r="U92" t="str">
        <f t="shared" si="17"/>
        <v>High</v>
      </c>
    </row>
    <row r="93" spans="1:21">
      <c r="A93" s="1">
        <v>472</v>
      </c>
      <c r="B93" s="2">
        <v>2003</v>
      </c>
      <c r="C93" s="1" t="s">
        <v>61</v>
      </c>
      <c r="D93" s="1" t="s">
        <v>62</v>
      </c>
      <c r="E93" s="1" t="s">
        <v>26</v>
      </c>
      <c r="F93" s="1" t="s">
        <v>27</v>
      </c>
      <c r="G93" s="9">
        <v>117176429</v>
      </c>
      <c r="H93" s="1">
        <v>101</v>
      </c>
      <c r="I93" s="1">
        <v>61</v>
      </c>
      <c r="J93" s="5">
        <v>17.899999999999999</v>
      </c>
      <c r="K93" s="1" t="s">
        <v>20</v>
      </c>
      <c r="L93" s="1" t="s">
        <v>19</v>
      </c>
      <c r="M93" s="10">
        <f t="shared" si="9"/>
        <v>6546169.2178770956</v>
      </c>
      <c r="N93" s="10">
        <f t="shared" si="10"/>
        <v>1160162.6633663366</v>
      </c>
      <c r="O93" s="1">
        <f t="shared" si="11"/>
        <v>2</v>
      </c>
      <c r="P93" s="1">
        <f t="shared" si="12"/>
        <v>1</v>
      </c>
      <c r="Q93" s="1">
        <f t="shared" si="13"/>
        <v>1</v>
      </c>
      <c r="R93" s="6">
        <f t="shared" si="14"/>
        <v>0.62345679012345678</v>
      </c>
      <c r="S93" s="8">
        <f t="shared" si="15"/>
        <v>80.129395292660007</v>
      </c>
      <c r="T93" s="8">
        <f t="shared" si="16"/>
        <v>20.870604707339993</v>
      </c>
      <c r="U93" t="str">
        <f t="shared" si="17"/>
        <v>Mid</v>
      </c>
    </row>
    <row r="94" spans="1:21">
      <c r="A94" s="1">
        <v>30</v>
      </c>
      <c r="B94" s="2">
        <v>2003</v>
      </c>
      <c r="C94" s="1" t="s">
        <v>21</v>
      </c>
      <c r="D94" s="1" t="s">
        <v>22</v>
      </c>
      <c r="E94" s="1" t="s">
        <v>17</v>
      </c>
      <c r="F94" s="1" t="s">
        <v>23</v>
      </c>
      <c r="G94" s="9">
        <v>106243667</v>
      </c>
      <c r="H94" s="1">
        <v>101</v>
      </c>
      <c r="I94" s="1">
        <v>61</v>
      </c>
      <c r="J94" s="5">
        <v>48.6</v>
      </c>
      <c r="K94" s="1" t="s">
        <v>20</v>
      </c>
      <c r="L94" s="1" t="s">
        <v>19</v>
      </c>
      <c r="M94" s="10">
        <f t="shared" si="9"/>
        <v>2186083.6831275718</v>
      </c>
      <c r="N94" s="10">
        <f t="shared" si="10"/>
        <v>1051917.495049505</v>
      </c>
      <c r="O94" s="1">
        <f t="shared" si="11"/>
        <v>3</v>
      </c>
      <c r="P94" s="1">
        <f t="shared" si="12"/>
        <v>1</v>
      </c>
      <c r="Q94" s="1">
        <f t="shared" si="13"/>
        <v>2</v>
      </c>
      <c r="R94" s="6">
        <f t="shared" si="14"/>
        <v>0.62345679012345678</v>
      </c>
      <c r="S94" s="8">
        <f t="shared" si="15"/>
        <v>79.174909793038097</v>
      </c>
      <c r="T94" s="8">
        <f t="shared" si="16"/>
        <v>21.825090206961903</v>
      </c>
      <c r="U94" t="str">
        <f t="shared" si="17"/>
        <v>Mid</v>
      </c>
    </row>
    <row r="95" spans="1:21">
      <c r="A95" s="1">
        <v>368</v>
      </c>
      <c r="B95" s="2">
        <v>2003</v>
      </c>
      <c r="C95" s="1" t="s">
        <v>53</v>
      </c>
      <c r="D95" s="1" t="s">
        <v>54</v>
      </c>
      <c r="E95" s="1" t="s">
        <v>17</v>
      </c>
      <c r="F95" s="1" t="s">
        <v>23</v>
      </c>
      <c r="G95" s="9">
        <v>105872620</v>
      </c>
      <c r="H95" s="1">
        <v>91</v>
      </c>
      <c r="I95" s="1">
        <v>71</v>
      </c>
      <c r="J95" s="5">
        <v>42.5</v>
      </c>
      <c r="K95" s="1" t="s">
        <v>20</v>
      </c>
      <c r="L95" s="1" t="s">
        <v>20</v>
      </c>
      <c r="M95" s="10">
        <f t="shared" si="9"/>
        <v>2491120.4705882352</v>
      </c>
      <c r="N95" s="10">
        <f t="shared" si="10"/>
        <v>1163435.3846153845</v>
      </c>
      <c r="O95" s="1">
        <f t="shared" si="11"/>
        <v>4</v>
      </c>
      <c r="P95" s="1">
        <f t="shared" si="12"/>
        <v>7</v>
      </c>
      <c r="Q95" s="1">
        <f t="shared" si="13"/>
        <v>-3</v>
      </c>
      <c r="R95" s="6">
        <f t="shared" si="14"/>
        <v>0.56172839506172845</v>
      </c>
      <c r="S95" s="8">
        <f t="shared" si="15"/>
        <v>79.142515510497404</v>
      </c>
      <c r="T95" s="8">
        <f t="shared" si="16"/>
        <v>11.857484489502596</v>
      </c>
      <c r="U95" t="str">
        <f t="shared" si="17"/>
        <v>Mid</v>
      </c>
    </row>
    <row r="96" spans="1:21">
      <c r="A96" s="1">
        <v>732</v>
      </c>
      <c r="B96" s="2">
        <v>2003</v>
      </c>
      <c r="C96" s="1" t="s">
        <v>81</v>
      </c>
      <c r="D96" s="1" t="s">
        <v>82</v>
      </c>
      <c r="E96" s="1" t="s">
        <v>26</v>
      </c>
      <c r="F96" s="1" t="s">
        <v>27</v>
      </c>
      <c r="G96" s="9">
        <v>103491667</v>
      </c>
      <c r="H96" s="1">
        <v>86</v>
      </c>
      <c r="I96" s="1">
        <v>76</v>
      </c>
      <c r="J96" s="5">
        <v>26.4</v>
      </c>
      <c r="K96" s="1" t="s">
        <v>19</v>
      </c>
      <c r="L96" s="1" t="s">
        <v>19</v>
      </c>
      <c r="M96" s="10">
        <f t="shared" si="9"/>
        <v>3920138.9015151518</v>
      </c>
      <c r="N96" s="10">
        <f t="shared" si="10"/>
        <v>1203391.4767441861</v>
      </c>
      <c r="O96" s="1">
        <f t="shared" si="11"/>
        <v>5</v>
      </c>
      <c r="P96" s="1">
        <f t="shared" si="12"/>
        <v>11</v>
      </c>
      <c r="Q96" s="1">
        <f t="shared" si="13"/>
        <v>-6</v>
      </c>
      <c r="R96" s="6">
        <f t="shared" si="14"/>
        <v>0.53086419753086422</v>
      </c>
      <c r="S96" s="8">
        <f t="shared" si="15"/>
        <v>78.934646253508063</v>
      </c>
      <c r="T96" s="8">
        <f t="shared" si="16"/>
        <v>7.0653537464919367</v>
      </c>
      <c r="U96" t="str">
        <f t="shared" si="17"/>
        <v>Mid</v>
      </c>
    </row>
    <row r="97" spans="1:21">
      <c r="A97" s="1">
        <v>82</v>
      </c>
      <c r="B97" s="2">
        <v>2003</v>
      </c>
      <c r="C97" s="1" t="s">
        <v>28</v>
      </c>
      <c r="D97" s="1" t="s">
        <v>29</v>
      </c>
      <c r="E97" s="1" t="s">
        <v>26</v>
      </c>
      <c r="F97" s="1" t="s">
        <v>27</v>
      </c>
      <c r="G97" s="9">
        <v>99946500</v>
      </c>
      <c r="H97" s="1">
        <v>95</v>
      </c>
      <c r="I97" s="1">
        <v>67</v>
      </c>
      <c r="J97" s="5">
        <v>47.3</v>
      </c>
      <c r="K97" s="1" t="s">
        <v>20</v>
      </c>
      <c r="L97" s="1" t="s">
        <v>19</v>
      </c>
      <c r="M97" s="10">
        <f t="shared" si="9"/>
        <v>2113033.8266384779</v>
      </c>
      <c r="N97" s="10">
        <f t="shared" si="10"/>
        <v>1052068.4210526317</v>
      </c>
      <c r="O97" s="1">
        <f t="shared" si="11"/>
        <v>6</v>
      </c>
      <c r="P97" s="1">
        <f t="shared" si="12"/>
        <v>5</v>
      </c>
      <c r="Q97" s="1">
        <f t="shared" si="13"/>
        <v>1</v>
      </c>
      <c r="R97" s="6">
        <f t="shared" si="14"/>
        <v>0.5864197530864198</v>
      </c>
      <c r="S97" s="8">
        <f t="shared" si="15"/>
        <v>78.625135217299814</v>
      </c>
      <c r="T97" s="8">
        <f t="shared" si="16"/>
        <v>16.374864782700186</v>
      </c>
      <c r="U97" t="str">
        <f t="shared" si="17"/>
        <v>Mid</v>
      </c>
    </row>
    <row r="98" spans="1:21">
      <c r="A98" s="1">
        <v>654</v>
      </c>
      <c r="B98" s="2">
        <v>2003</v>
      </c>
      <c r="C98" s="1" t="s">
        <v>75</v>
      </c>
      <c r="D98" s="1" t="s">
        <v>76</v>
      </c>
      <c r="E98" s="1" t="s">
        <v>17</v>
      </c>
      <c r="F98" s="1" t="s">
        <v>32</v>
      </c>
      <c r="G98" s="9">
        <v>86959167</v>
      </c>
      <c r="H98" s="1">
        <v>85</v>
      </c>
      <c r="I98" s="1">
        <v>77</v>
      </c>
      <c r="J98" s="5">
        <v>47.9</v>
      </c>
      <c r="K98" s="1" t="s">
        <v>19</v>
      </c>
      <c r="L98" s="1" t="s">
        <v>19</v>
      </c>
      <c r="M98" s="10">
        <f t="shared" si="9"/>
        <v>1815431.4613778705</v>
      </c>
      <c r="N98" s="10">
        <f t="shared" si="10"/>
        <v>1023049.0235294118</v>
      </c>
      <c r="O98" s="1">
        <f t="shared" si="11"/>
        <v>7</v>
      </c>
      <c r="P98" s="1">
        <f t="shared" si="12"/>
        <v>14</v>
      </c>
      <c r="Q98" s="1">
        <f t="shared" si="13"/>
        <v>-7</v>
      </c>
      <c r="R98" s="6">
        <f t="shared" si="14"/>
        <v>0.52469135802469136</v>
      </c>
      <c r="S98" s="8">
        <f t="shared" si="15"/>
        <v>77.49127526249049</v>
      </c>
      <c r="T98" s="8">
        <f t="shared" si="16"/>
        <v>7.5087247375095103</v>
      </c>
      <c r="U98" t="str">
        <f t="shared" si="17"/>
        <v>Mid</v>
      </c>
    </row>
    <row r="99" spans="1:21">
      <c r="A99" s="1">
        <v>680</v>
      </c>
      <c r="B99" s="2">
        <v>2003</v>
      </c>
      <c r="C99" s="1" t="s">
        <v>77</v>
      </c>
      <c r="D99" s="1" t="s">
        <v>78</v>
      </c>
      <c r="E99" s="1" t="s">
        <v>26</v>
      </c>
      <c r="F99" s="1" t="s">
        <v>27</v>
      </c>
      <c r="G99" s="9">
        <v>83486666</v>
      </c>
      <c r="H99" s="1">
        <v>63</v>
      </c>
      <c r="I99" s="1">
        <v>99</v>
      </c>
      <c r="J99" s="5">
        <v>43.7</v>
      </c>
      <c r="K99" s="1" t="s">
        <v>19</v>
      </c>
      <c r="L99" s="1" t="s">
        <v>19</v>
      </c>
      <c r="M99" s="10">
        <f t="shared" si="9"/>
        <v>1910450.0228832951</v>
      </c>
      <c r="N99" s="10">
        <f t="shared" si="10"/>
        <v>1325185.1746031747</v>
      </c>
      <c r="O99" s="1">
        <f t="shared" si="11"/>
        <v>8</v>
      </c>
      <c r="P99" s="1">
        <f t="shared" si="12"/>
        <v>29</v>
      </c>
      <c r="Q99" s="1">
        <f t="shared" si="13"/>
        <v>-21</v>
      </c>
      <c r="R99" s="6">
        <f t="shared" si="14"/>
        <v>0.3888888888888889</v>
      </c>
      <c r="S99" s="8">
        <f t="shared" si="15"/>
        <v>77.188108336152695</v>
      </c>
      <c r="T99" s="8">
        <f t="shared" si="16"/>
        <v>-14.188108336152695</v>
      </c>
      <c r="U99" t="str">
        <f t="shared" si="17"/>
        <v>Mid</v>
      </c>
    </row>
    <row r="100" spans="1:21">
      <c r="A100" s="1">
        <v>628</v>
      </c>
      <c r="B100" s="2">
        <v>2003</v>
      </c>
      <c r="C100" s="1" t="s">
        <v>73</v>
      </c>
      <c r="D100" s="1" t="s">
        <v>74</v>
      </c>
      <c r="E100" s="1" t="s">
        <v>26</v>
      </c>
      <c r="F100" s="1" t="s">
        <v>46</v>
      </c>
      <c r="G100" s="9">
        <v>82852167</v>
      </c>
      <c r="H100" s="1">
        <v>93</v>
      </c>
      <c r="I100" s="1">
        <v>69</v>
      </c>
      <c r="J100" s="5">
        <v>46.8</v>
      </c>
      <c r="K100" s="1" t="s">
        <v>19</v>
      </c>
      <c r="L100" s="1" t="s">
        <v>19</v>
      </c>
      <c r="M100" s="10">
        <f t="shared" si="9"/>
        <v>1770345.4487179487</v>
      </c>
      <c r="N100" s="10">
        <f t="shared" si="10"/>
        <v>890883.51612903224</v>
      </c>
      <c r="O100" s="1">
        <f t="shared" si="11"/>
        <v>9</v>
      </c>
      <c r="P100" s="1">
        <f t="shared" si="12"/>
        <v>6</v>
      </c>
      <c r="Q100" s="1">
        <f t="shared" si="13"/>
        <v>3</v>
      </c>
      <c r="R100" s="6">
        <f t="shared" si="14"/>
        <v>0.57407407407407407</v>
      </c>
      <c r="S100" s="8">
        <f t="shared" si="15"/>
        <v>77.132713359565386</v>
      </c>
      <c r="T100" s="8">
        <f t="shared" si="16"/>
        <v>15.867286640434614</v>
      </c>
      <c r="U100" t="str">
        <f t="shared" si="17"/>
        <v>Mid</v>
      </c>
    </row>
    <row r="101" spans="1:21">
      <c r="A101" s="1">
        <v>4</v>
      </c>
      <c r="B101" s="2">
        <v>2003</v>
      </c>
      <c r="C101" s="1" t="s">
        <v>15</v>
      </c>
      <c r="D101" s="1" t="s">
        <v>16</v>
      </c>
      <c r="E101" s="1" t="s">
        <v>17</v>
      </c>
      <c r="F101" s="1" t="s">
        <v>18</v>
      </c>
      <c r="G101" s="9">
        <v>80640333</v>
      </c>
      <c r="H101" s="1">
        <v>84</v>
      </c>
      <c r="I101" s="1">
        <v>78</v>
      </c>
      <c r="J101" s="5">
        <v>41.7</v>
      </c>
      <c r="K101" s="1" t="s">
        <v>19</v>
      </c>
      <c r="L101" s="1" t="s">
        <v>19</v>
      </c>
      <c r="M101" s="10">
        <f t="shared" si="9"/>
        <v>1933820.9352517985</v>
      </c>
      <c r="N101" s="10">
        <f t="shared" si="10"/>
        <v>960003.96428571432</v>
      </c>
      <c r="O101" s="1">
        <f t="shared" si="11"/>
        <v>10</v>
      </c>
      <c r="P101" s="1">
        <f t="shared" si="12"/>
        <v>16</v>
      </c>
      <c r="Q101" s="1">
        <f t="shared" si="13"/>
        <v>-6</v>
      </c>
      <c r="R101" s="6">
        <f t="shared" si="14"/>
        <v>0.51851851851851849</v>
      </c>
      <c r="S101" s="8">
        <f t="shared" si="15"/>
        <v>76.93960904790373</v>
      </c>
      <c r="T101" s="8">
        <f t="shared" si="16"/>
        <v>7.0603909520962702</v>
      </c>
      <c r="U101" t="str">
        <f t="shared" si="17"/>
        <v>Mid</v>
      </c>
    </row>
    <row r="102" spans="1:21">
      <c r="A102" s="1">
        <v>108</v>
      </c>
      <c r="B102" s="2">
        <v>2003</v>
      </c>
      <c r="C102" s="1" t="s">
        <v>30</v>
      </c>
      <c r="D102" s="1" t="s">
        <v>31</v>
      </c>
      <c r="E102" s="1" t="s">
        <v>17</v>
      </c>
      <c r="F102" s="1" t="s">
        <v>32</v>
      </c>
      <c r="G102" s="9">
        <v>79868333</v>
      </c>
      <c r="H102" s="1">
        <v>88</v>
      </c>
      <c r="I102" s="1">
        <v>74</v>
      </c>
      <c r="J102" s="5">
        <v>44.9</v>
      </c>
      <c r="K102" s="1" t="s">
        <v>20</v>
      </c>
      <c r="L102" s="1" t="s">
        <v>19</v>
      </c>
      <c r="M102" s="10">
        <f t="shared" si="9"/>
        <v>1778804.7438752784</v>
      </c>
      <c r="N102" s="10">
        <f t="shared" si="10"/>
        <v>907594.69318181823</v>
      </c>
      <c r="O102" s="1">
        <f t="shared" si="11"/>
        <v>11</v>
      </c>
      <c r="P102" s="1">
        <f t="shared" si="12"/>
        <v>9</v>
      </c>
      <c r="Q102" s="1">
        <f t="shared" si="13"/>
        <v>2</v>
      </c>
      <c r="R102" s="6">
        <f t="shared" si="14"/>
        <v>0.54320987654320985</v>
      </c>
      <c r="S102" s="8">
        <f t="shared" si="15"/>
        <v>76.87220953754138</v>
      </c>
      <c r="T102" s="8">
        <f t="shared" si="16"/>
        <v>11.12779046245862</v>
      </c>
      <c r="U102" t="str">
        <f t="shared" si="17"/>
        <v>Low</v>
      </c>
    </row>
    <row r="103" spans="1:21">
      <c r="A103" s="1">
        <v>342</v>
      </c>
      <c r="B103" s="2">
        <v>2003</v>
      </c>
      <c r="C103" s="1" t="s">
        <v>51</v>
      </c>
      <c r="D103" s="1" t="s">
        <v>52</v>
      </c>
      <c r="E103" s="1" t="s">
        <v>17</v>
      </c>
      <c r="F103" s="1" t="s">
        <v>18</v>
      </c>
      <c r="G103" s="9">
        <v>79031667</v>
      </c>
      <c r="H103" s="1">
        <v>85</v>
      </c>
      <c r="I103" s="1">
        <v>77</v>
      </c>
      <c r="J103" s="5">
        <v>31.7</v>
      </c>
      <c r="K103" s="1" t="s">
        <v>19</v>
      </c>
      <c r="L103" s="1" t="s">
        <v>19</v>
      </c>
      <c r="M103" s="10">
        <f t="shared" si="9"/>
        <v>2493112.5236593061</v>
      </c>
      <c r="N103" s="10">
        <f t="shared" si="10"/>
        <v>929784.31764705887</v>
      </c>
      <c r="O103" s="1">
        <f t="shared" si="11"/>
        <v>12</v>
      </c>
      <c r="P103" s="1">
        <f t="shared" si="12"/>
        <v>14</v>
      </c>
      <c r="Q103" s="1">
        <f t="shared" si="13"/>
        <v>-2</v>
      </c>
      <c r="R103" s="6">
        <f t="shared" si="14"/>
        <v>0.52469135802469136</v>
      </c>
      <c r="S103" s="8">
        <f t="shared" si="15"/>
        <v>76.799164357830463</v>
      </c>
      <c r="T103" s="8">
        <f t="shared" si="16"/>
        <v>8.2008356421695368</v>
      </c>
      <c r="U103" t="str">
        <f t="shared" si="17"/>
        <v>Low</v>
      </c>
    </row>
    <row r="104" spans="1:21">
      <c r="A104" s="1">
        <v>56</v>
      </c>
      <c r="B104" s="2">
        <v>2003</v>
      </c>
      <c r="C104" s="1" t="s">
        <v>24</v>
      </c>
      <c r="D104" s="1" t="s">
        <v>25</v>
      </c>
      <c r="E104" s="1" t="s">
        <v>26</v>
      </c>
      <c r="F104" s="1" t="s">
        <v>27</v>
      </c>
      <c r="G104" s="9">
        <v>73877500</v>
      </c>
      <c r="H104" s="1">
        <v>71</v>
      </c>
      <c r="I104" s="1">
        <v>91</v>
      </c>
      <c r="J104" s="5">
        <v>29.1</v>
      </c>
      <c r="K104" s="1" t="s">
        <v>19</v>
      </c>
      <c r="L104" s="1" t="s">
        <v>19</v>
      </c>
      <c r="M104" s="10">
        <f t="shared" si="9"/>
        <v>2538745.7044673539</v>
      </c>
      <c r="N104" s="10">
        <f t="shared" si="10"/>
        <v>1040528.1690140845</v>
      </c>
      <c r="O104" s="1">
        <f t="shared" si="11"/>
        <v>13</v>
      </c>
      <c r="P104" s="1">
        <f t="shared" si="12"/>
        <v>22</v>
      </c>
      <c r="Q104" s="1">
        <f t="shared" si="13"/>
        <v>-9</v>
      </c>
      <c r="R104" s="6">
        <f t="shared" si="14"/>
        <v>0.43827160493827161</v>
      </c>
      <c r="S104" s="8">
        <f t="shared" si="15"/>
        <v>76.349179471657166</v>
      </c>
      <c r="T104" s="8">
        <f t="shared" si="16"/>
        <v>-5.3491794716571661</v>
      </c>
      <c r="U104" t="str">
        <f t="shared" si="17"/>
        <v>Low</v>
      </c>
    </row>
    <row r="105" spans="1:21">
      <c r="A105" s="1">
        <v>290</v>
      </c>
      <c r="B105" s="2">
        <v>2003</v>
      </c>
      <c r="C105" s="1" t="s">
        <v>47</v>
      </c>
      <c r="D105" s="1" t="s">
        <v>48</v>
      </c>
      <c r="E105" s="1" t="s">
        <v>26</v>
      </c>
      <c r="F105" s="1" t="s">
        <v>35</v>
      </c>
      <c r="G105" s="9">
        <v>71040000</v>
      </c>
      <c r="H105" s="1">
        <v>83</v>
      </c>
      <c r="I105" s="1">
        <v>79</v>
      </c>
      <c r="J105" s="5">
        <v>41.9</v>
      </c>
      <c r="K105" s="1" t="s">
        <v>19</v>
      </c>
      <c r="L105" s="1" t="s">
        <v>19</v>
      </c>
      <c r="M105" s="10">
        <f t="shared" si="9"/>
        <v>1695465.3937947494</v>
      </c>
      <c r="N105" s="10">
        <f t="shared" si="10"/>
        <v>855903.61445783137</v>
      </c>
      <c r="O105" s="1">
        <f t="shared" si="11"/>
        <v>14</v>
      </c>
      <c r="P105" s="1">
        <f t="shared" si="12"/>
        <v>17</v>
      </c>
      <c r="Q105" s="1">
        <f t="shared" si="13"/>
        <v>-3</v>
      </c>
      <c r="R105" s="6">
        <f t="shared" si="14"/>
        <v>0.51234567901234573</v>
      </c>
      <c r="S105" s="8">
        <f t="shared" si="15"/>
        <v>76.101451349049427</v>
      </c>
      <c r="T105" s="8">
        <f t="shared" si="16"/>
        <v>6.8985486509505733</v>
      </c>
      <c r="U105" t="str">
        <f t="shared" si="17"/>
        <v>Low</v>
      </c>
    </row>
    <row r="106" spans="1:21">
      <c r="A106" s="1">
        <v>550</v>
      </c>
      <c r="B106" s="2">
        <v>2003</v>
      </c>
      <c r="C106" s="1" t="s">
        <v>67</v>
      </c>
      <c r="D106" s="1" t="s">
        <v>68</v>
      </c>
      <c r="E106" s="1" t="s">
        <v>17</v>
      </c>
      <c r="F106" s="1" t="s">
        <v>32</v>
      </c>
      <c r="G106" s="9">
        <v>70780000</v>
      </c>
      <c r="H106" s="1">
        <v>75</v>
      </c>
      <c r="I106" s="1">
        <v>87</v>
      </c>
      <c r="J106" s="5">
        <v>43.1</v>
      </c>
      <c r="K106" s="1" t="s">
        <v>19</v>
      </c>
      <c r="L106" s="1" t="s">
        <v>19</v>
      </c>
      <c r="M106" s="10">
        <f t="shared" si="9"/>
        <v>1642227.3781902553</v>
      </c>
      <c r="N106" s="10">
        <f t="shared" si="10"/>
        <v>943733.33333333337</v>
      </c>
      <c r="O106" s="1">
        <f t="shared" si="11"/>
        <v>15</v>
      </c>
      <c r="P106" s="1">
        <f t="shared" si="12"/>
        <v>20</v>
      </c>
      <c r="Q106" s="1">
        <f t="shared" si="13"/>
        <v>-5</v>
      </c>
      <c r="R106" s="6">
        <f t="shared" si="14"/>
        <v>0.46296296296296297</v>
      </c>
      <c r="S106" s="8">
        <f t="shared" si="15"/>
        <v>76.078752032088019</v>
      </c>
      <c r="T106" s="8">
        <f t="shared" si="16"/>
        <v>-1.0787520320880191</v>
      </c>
      <c r="U106" t="str">
        <f t="shared" si="17"/>
        <v>Low</v>
      </c>
    </row>
    <row r="107" spans="1:21">
      <c r="A107" s="1">
        <v>212</v>
      </c>
      <c r="B107" s="2">
        <v>2003</v>
      </c>
      <c r="C107" s="1" t="s">
        <v>40</v>
      </c>
      <c r="D107" s="1" t="s">
        <v>41</v>
      </c>
      <c r="E107" s="1" t="s">
        <v>17</v>
      </c>
      <c r="F107" s="1" t="s">
        <v>18</v>
      </c>
      <c r="G107" s="9">
        <v>67179667</v>
      </c>
      <c r="H107" s="1">
        <v>74</v>
      </c>
      <c r="I107" s="1">
        <v>88</v>
      </c>
      <c r="J107" s="5">
        <v>24.8</v>
      </c>
      <c r="K107" s="1" t="s">
        <v>19</v>
      </c>
      <c r="L107" s="1" t="s">
        <v>19</v>
      </c>
      <c r="M107" s="10">
        <f t="shared" si="9"/>
        <v>2708857.5403225804</v>
      </c>
      <c r="N107" s="10">
        <f t="shared" si="10"/>
        <v>907833.33783783787</v>
      </c>
      <c r="O107" s="1">
        <f t="shared" si="11"/>
        <v>16</v>
      </c>
      <c r="P107" s="1">
        <f t="shared" si="12"/>
        <v>21</v>
      </c>
      <c r="Q107" s="1">
        <f t="shared" si="13"/>
        <v>-5</v>
      </c>
      <c r="R107" s="6">
        <f t="shared" si="14"/>
        <v>0.4567901234567901</v>
      </c>
      <c r="S107" s="8">
        <f t="shared" si="15"/>
        <v>75.764424724650951</v>
      </c>
      <c r="T107" s="8">
        <f t="shared" si="16"/>
        <v>-1.7644247246509508</v>
      </c>
      <c r="U107" t="str">
        <f t="shared" si="17"/>
        <v>Low</v>
      </c>
    </row>
    <row r="108" spans="1:21">
      <c r="A108" s="1">
        <v>160</v>
      </c>
      <c r="B108" s="2">
        <v>2003</v>
      </c>
      <c r="C108" s="1" t="s">
        <v>36</v>
      </c>
      <c r="D108" s="1" t="s">
        <v>37</v>
      </c>
      <c r="E108" s="1" t="s">
        <v>17</v>
      </c>
      <c r="F108" s="1" t="s">
        <v>32</v>
      </c>
      <c r="G108" s="9">
        <v>59355667</v>
      </c>
      <c r="H108" s="1">
        <v>69</v>
      </c>
      <c r="I108" s="1">
        <v>93</v>
      </c>
      <c r="J108" s="5">
        <v>21.2</v>
      </c>
      <c r="K108" s="1" t="s">
        <v>19</v>
      </c>
      <c r="L108" s="1" t="s">
        <v>19</v>
      </c>
      <c r="M108" s="10">
        <f t="shared" si="9"/>
        <v>2799795.6132075475</v>
      </c>
      <c r="N108" s="10">
        <f t="shared" si="10"/>
        <v>860227.05797101452</v>
      </c>
      <c r="O108" s="1">
        <f t="shared" si="11"/>
        <v>17</v>
      </c>
      <c r="P108" s="1">
        <f t="shared" si="12"/>
        <v>24</v>
      </c>
      <c r="Q108" s="1">
        <f t="shared" si="13"/>
        <v>-7</v>
      </c>
      <c r="R108" s="6">
        <f t="shared" si="14"/>
        <v>0.42592592592592593</v>
      </c>
      <c r="S108" s="8">
        <f t="shared" si="15"/>
        <v>75.081349894242877</v>
      </c>
      <c r="T108" s="8">
        <f t="shared" si="16"/>
        <v>-6.0813498942428765</v>
      </c>
      <c r="U108" t="str">
        <f t="shared" si="17"/>
        <v>Low</v>
      </c>
    </row>
    <row r="109" spans="1:21">
      <c r="A109" s="1">
        <v>420</v>
      </c>
      <c r="B109" s="2">
        <v>2003</v>
      </c>
      <c r="C109" s="1" t="s">
        <v>57</v>
      </c>
      <c r="D109" s="1" t="s">
        <v>58</v>
      </c>
      <c r="E109" s="1" t="s">
        <v>26</v>
      </c>
      <c r="F109" s="1" t="s">
        <v>35</v>
      </c>
      <c r="G109" s="9">
        <v>55505000</v>
      </c>
      <c r="H109" s="1">
        <v>90</v>
      </c>
      <c r="I109" s="1">
        <v>72</v>
      </c>
      <c r="J109" s="5">
        <v>38.6</v>
      </c>
      <c r="K109" s="1" t="s">
        <v>20</v>
      </c>
      <c r="L109" s="1" t="s">
        <v>19</v>
      </c>
      <c r="M109" s="10">
        <f t="shared" si="9"/>
        <v>1437953.3678756477</v>
      </c>
      <c r="N109" s="10">
        <f t="shared" si="10"/>
        <v>616722.22222222225</v>
      </c>
      <c r="O109" s="1">
        <f t="shared" si="11"/>
        <v>18</v>
      </c>
      <c r="P109" s="1">
        <f t="shared" si="12"/>
        <v>8</v>
      </c>
      <c r="Q109" s="1">
        <f t="shared" si="13"/>
        <v>10</v>
      </c>
      <c r="R109" s="6">
        <f t="shared" si="14"/>
        <v>0.55555555555555558</v>
      </c>
      <c r="S109" s="8">
        <f t="shared" si="15"/>
        <v>74.745167160604979</v>
      </c>
      <c r="T109" s="8">
        <f t="shared" si="16"/>
        <v>15.254832839395021</v>
      </c>
      <c r="U109" t="str">
        <f t="shared" si="17"/>
        <v>Low</v>
      </c>
    </row>
    <row r="110" spans="1:21">
      <c r="A110" s="1">
        <v>576</v>
      </c>
      <c r="B110" s="2">
        <v>2003</v>
      </c>
      <c r="C110" s="1" t="s">
        <v>69</v>
      </c>
      <c r="D110" s="1" t="s">
        <v>70</v>
      </c>
      <c r="E110" s="1" t="s">
        <v>17</v>
      </c>
      <c r="F110" s="1" t="s">
        <v>18</v>
      </c>
      <c r="G110" s="9">
        <v>54812429</v>
      </c>
      <c r="H110" s="1">
        <v>64</v>
      </c>
      <c r="I110" s="1">
        <v>98</v>
      </c>
      <c r="J110" s="5">
        <v>28.4</v>
      </c>
      <c r="K110" s="1" t="s">
        <v>19</v>
      </c>
      <c r="L110" s="1" t="s">
        <v>19</v>
      </c>
      <c r="M110" s="10">
        <f t="shared" si="9"/>
        <v>1930015.1056338029</v>
      </c>
      <c r="N110" s="10">
        <f t="shared" si="10"/>
        <v>856444.203125</v>
      </c>
      <c r="O110" s="1">
        <f t="shared" si="11"/>
        <v>19</v>
      </c>
      <c r="P110" s="1">
        <f t="shared" si="12"/>
        <v>28</v>
      </c>
      <c r="Q110" s="1">
        <f t="shared" si="13"/>
        <v>-9</v>
      </c>
      <c r="R110" s="6">
        <f t="shared" si="14"/>
        <v>0.39506172839506171</v>
      </c>
      <c r="S110" s="8">
        <f t="shared" si="15"/>
        <v>74.684702204269271</v>
      </c>
      <c r="T110" s="8">
        <f t="shared" si="16"/>
        <v>-10.684702204269271</v>
      </c>
      <c r="U110" t="str">
        <f t="shared" si="17"/>
        <v>Low</v>
      </c>
    </row>
    <row r="111" spans="1:21">
      <c r="A111" s="1">
        <v>758</v>
      </c>
      <c r="B111" s="2">
        <v>2003</v>
      </c>
      <c r="C111" s="1" t="s">
        <v>83</v>
      </c>
      <c r="D111" s="1" t="s">
        <v>84</v>
      </c>
      <c r="E111" s="1" t="s">
        <v>17</v>
      </c>
      <c r="F111" s="1" t="s">
        <v>23</v>
      </c>
      <c r="G111" s="9">
        <v>51265000</v>
      </c>
      <c r="H111" s="1">
        <v>83</v>
      </c>
      <c r="I111" s="1">
        <v>79</v>
      </c>
      <c r="J111" s="5">
        <v>42.2</v>
      </c>
      <c r="K111" s="1" t="s">
        <v>19</v>
      </c>
      <c r="L111" s="1" t="s">
        <v>19</v>
      </c>
      <c r="M111" s="10">
        <f t="shared" si="9"/>
        <v>1214810.4265402842</v>
      </c>
      <c r="N111" s="10">
        <f t="shared" si="10"/>
        <v>617650.60240963858</v>
      </c>
      <c r="O111" s="1">
        <f t="shared" si="11"/>
        <v>20</v>
      </c>
      <c r="P111" s="1">
        <f t="shared" si="12"/>
        <v>17</v>
      </c>
      <c r="Q111" s="1">
        <f t="shared" si="13"/>
        <v>3</v>
      </c>
      <c r="R111" s="6">
        <f t="shared" si="14"/>
        <v>0.51234567901234573</v>
      </c>
      <c r="S111" s="8">
        <f t="shared" si="15"/>
        <v>74.374993684003456</v>
      </c>
      <c r="T111" s="8">
        <f t="shared" si="16"/>
        <v>8.6250063159965435</v>
      </c>
      <c r="U111" t="str">
        <f t="shared" si="17"/>
        <v>Low</v>
      </c>
    </row>
    <row r="112" spans="1:21">
      <c r="A112" s="1">
        <v>134</v>
      </c>
      <c r="B112" s="2">
        <v>2003</v>
      </c>
      <c r="C112" s="1" t="s">
        <v>33</v>
      </c>
      <c r="D112" s="1" t="s">
        <v>34</v>
      </c>
      <c r="E112" s="1" t="s">
        <v>26</v>
      </c>
      <c r="F112" s="1" t="s">
        <v>35</v>
      </c>
      <c r="G112" s="9">
        <v>51010000</v>
      </c>
      <c r="H112" s="1">
        <v>86</v>
      </c>
      <c r="I112" s="1">
        <v>76</v>
      </c>
      <c r="J112" s="5">
        <v>37.5</v>
      </c>
      <c r="K112" s="1" t="s">
        <v>19</v>
      </c>
      <c r="L112" s="1" t="s">
        <v>19</v>
      </c>
      <c r="M112" s="10">
        <f t="shared" si="9"/>
        <v>1360266.6666666667</v>
      </c>
      <c r="N112" s="10">
        <f t="shared" si="10"/>
        <v>593139.53488372092</v>
      </c>
      <c r="O112" s="1">
        <f t="shared" si="11"/>
        <v>21</v>
      </c>
      <c r="P112" s="1">
        <f t="shared" si="12"/>
        <v>11</v>
      </c>
      <c r="Q112" s="1">
        <f t="shared" si="13"/>
        <v>10</v>
      </c>
      <c r="R112" s="6">
        <f t="shared" si="14"/>
        <v>0.53086419753086422</v>
      </c>
      <c r="S112" s="8">
        <f t="shared" si="15"/>
        <v>74.352730892368228</v>
      </c>
      <c r="T112" s="8">
        <f t="shared" si="16"/>
        <v>11.647269107631772</v>
      </c>
      <c r="U112" t="str">
        <f t="shared" si="17"/>
        <v>Low</v>
      </c>
    </row>
    <row r="113" spans="1:21">
      <c r="A113" s="1">
        <v>524</v>
      </c>
      <c r="B113" s="2">
        <v>2003</v>
      </c>
      <c r="C113" s="1" t="s">
        <v>65</v>
      </c>
      <c r="D113" s="1" t="s">
        <v>66</v>
      </c>
      <c r="E113" s="1" t="s">
        <v>17</v>
      </c>
      <c r="F113" s="1" t="s">
        <v>23</v>
      </c>
      <c r="G113" s="9">
        <v>50260334</v>
      </c>
      <c r="H113" s="1">
        <v>86</v>
      </c>
      <c r="I113" s="1">
        <v>76</v>
      </c>
      <c r="J113" s="5">
        <v>44.6</v>
      </c>
      <c r="K113" s="1" t="s">
        <v>19</v>
      </c>
      <c r="L113" s="1" t="s">
        <v>19</v>
      </c>
      <c r="M113" s="10">
        <f t="shared" si="9"/>
        <v>1126913.3183856502</v>
      </c>
      <c r="N113" s="10">
        <f t="shared" si="10"/>
        <v>584422.48837209307</v>
      </c>
      <c r="O113" s="1">
        <f t="shared" si="11"/>
        <v>22</v>
      </c>
      <c r="P113" s="1">
        <f t="shared" si="12"/>
        <v>11</v>
      </c>
      <c r="Q113" s="1">
        <f t="shared" si="13"/>
        <v>11</v>
      </c>
      <c r="R113" s="6">
        <f t="shared" si="14"/>
        <v>0.53086419753086422</v>
      </c>
      <c r="S113" s="8">
        <f t="shared" si="15"/>
        <v>74.287281253332864</v>
      </c>
      <c r="T113" s="8">
        <f t="shared" si="16"/>
        <v>11.712718746667136</v>
      </c>
      <c r="U113" t="str">
        <f t="shared" si="17"/>
        <v>Low</v>
      </c>
    </row>
    <row r="114" spans="1:21">
      <c r="A114" s="1">
        <v>238</v>
      </c>
      <c r="B114" s="2">
        <v>2003</v>
      </c>
      <c r="C114" s="1" t="s">
        <v>42</v>
      </c>
      <c r="D114" s="1" t="s">
        <v>43</v>
      </c>
      <c r="E114" s="1" t="s">
        <v>26</v>
      </c>
      <c r="F114" s="1" t="s">
        <v>35</v>
      </c>
      <c r="G114" s="9">
        <v>49791167</v>
      </c>
      <c r="H114" s="1">
        <v>43</v>
      </c>
      <c r="I114" s="1">
        <v>119</v>
      </c>
      <c r="J114" s="5">
        <v>5.4</v>
      </c>
      <c r="K114" s="1" t="s">
        <v>19</v>
      </c>
      <c r="L114" s="1" t="s">
        <v>19</v>
      </c>
      <c r="M114" s="10">
        <f t="shared" si="9"/>
        <v>9220586.4814814813</v>
      </c>
      <c r="N114" s="10">
        <f t="shared" si="10"/>
        <v>1157934.1162790698</v>
      </c>
      <c r="O114" s="1">
        <f t="shared" si="11"/>
        <v>23</v>
      </c>
      <c r="P114" s="1">
        <f t="shared" si="12"/>
        <v>30</v>
      </c>
      <c r="Q114" s="1">
        <f t="shared" si="13"/>
        <v>-7</v>
      </c>
      <c r="R114" s="6">
        <f t="shared" si="14"/>
        <v>0.26543209876543211</v>
      </c>
      <c r="S114" s="8">
        <f t="shared" si="15"/>
        <v>74.246320597791183</v>
      </c>
      <c r="T114" s="8">
        <f t="shared" si="16"/>
        <v>-31.246320597791183</v>
      </c>
      <c r="U114" t="str">
        <f t="shared" si="17"/>
        <v>Low</v>
      </c>
    </row>
    <row r="115" spans="1:21">
      <c r="A115" s="1">
        <v>186</v>
      </c>
      <c r="B115" s="2">
        <v>2003</v>
      </c>
      <c r="C115" s="1" t="s">
        <v>38</v>
      </c>
      <c r="D115" s="1" t="s">
        <v>39</v>
      </c>
      <c r="E115" s="1" t="s">
        <v>26</v>
      </c>
      <c r="F115" s="1" t="s">
        <v>35</v>
      </c>
      <c r="G115" s="9">
        <v>48584834</v>
      </c>
      <c r="H115" s="1">
        <v>68</v>
      </c>
      <c r="I115" s="1">
        <v>94</v>
      </c>
      <c r="J115" s="5">
        <v>21.5</v>
      </c>
      <c r="K115" s="1" t="s">
        <v>19</v>
      </c>
      <c r="L115" s="1" t="s">
        <v>19</v>
      </c>
      <c r="M115" s="10">
        <f t="shared" si="9"/>
        <v>2259759.7209302327</v>
      </c>
      <c r="N115" s="10">
        <f t="shared" si="10"/>
        <v>714482.8529411765</v>
      </c>
      <c r="O115" s="1">
        <f t="shared" si="11"/>
        <v>24</v>
      </c>
      <c r="P115" s="1">
        <f t="shared" si="12"/>
        <v>25</v>
      </c>
      <c r="Q115" s="1">
        <f t="shared" si="13"/>
        <v>-1</v>
      </c>
      <c r="R115" s="6">
        <f t="shared" si="14"/>
        <v>0.41975308641975306</v>
      </c>
      <c r="S115" s="8">
        <f t="shared" si="15"/>
        <v>74.141001616529593</v>
      </c>
      <c r="T115" s="8">
        <f t="shared" si="16"/>
        <v>-6.1410016165295929</v>
      </c>
      <c r="U115" t="str">
        <f t="shared" si="17"/>
        <v>Low</v>
      </c>
    </row>
    <row r="116" spans="1:21">
      <c r="A116" s="1">
        <v>602</v>
      </c>
      <c r="B116" s="2">
        <v>2003</v>
      </c>
      <c r="C116" s="1" t="s">
        <v>71</v>
      </c>
      <c r="D116" s="1" t="s">
        <v>72</v>
      </c>
      <c r="E116" s="1" t="s">
        <v>17</v>
      </c>
      <c r="F116" s="1" t="s">
        <v>18</v>
      </c>
      <c r="G116" s="9">
        <v>45210000</v>
      </c>
      <c r="H116" s="1">
        <v>100</v>
      </c>
      <c r="I116" s="1">
        <v>61</v>
      </c>
      <c r="J116" s="5">
        <v>22.7</v>
      </c>
      <c r="K116" s="1" t="s">
        <v>20</v>
      </c>
      <c r="L116" s="1" t="s">
        <v>19</v>
      </c>
      <c r="M116" s="10">
        <f t="shared" si="9"/>
        <v>1991629.9559471367</v>
      </c>
      <c r="N116" s="10">
        <f t="shared" si="10"/>
        <v>452100</v>
      </c>
      <c r="O116" s="1">
        <f t="shared" si="11"/>
        <v>25</v>
      </c>
      <c r="P116" s="1">
        <f t="shared" si="12"/>
        <v>3</v>
      </c>
      <c r="Q116" s="1">
        <f t="shared" si="13"/>
        <v>22</v>
      </c>
      <c r="R116" s="6">
        <f t="shared" si="14"/>
        <v>0.6211180124223602</v>
      </c>
      <c r="S116" s="8">
        <f t="shared" si="15"/>
        <v>73.846361513998232</v>
      </c>
      <c r="T116" s="8">
        <f t="shared" si="16"/>
        <v>26.153638486001768</v>
      </c>
      <c r="U116" t="str">
        <f t="shared" si="17"/>
        <v>Low</v>
      </c>
    </row>
    <row r="117" spans="1:21">
      <c r="A117" s="1">
        <v>264</v>
      </c>
      <c r="B117" s="2">
        <v>2003</v>
      </c>
      <c r="C117" s="1" t="s">
        <v>44</v>
      </c>
      <c r="D117" s="1" t="s">
        <v>45</v>
      </c>
      <c r="E117" s="1" t="s">
        <v>26</v>
      </c>
      <c r="F117" s="1" t="s">
        <v>46</v>
      </c>
      <c r="G117" s="9">
        <v>45050000</v>
      </c>
      <c r="H117" s="1">
        <v>87</v>
      </c>
      <c r="I117" s="1">
        <v>75</v>
      </c>
      <c r="J117" s="5">
        <v>41.2</v>
      </c>
      <c r="K117" s="1" t="s">
        <v>19</v>
      </c>
      <c r="L117" s="1" t="s">
        <v>19</v>
      </c>
      <c r="M117" s="10">
        <f t="shared" si="9"/>
        <v>1093446.6019417476</v>
      </c>
      <c r="N117" s="10">
        <f t="shared" si="10"/>
        <v>517816.091954023</v>
      </c>
      <c r="O117" s="1">
        <f t="shared" si="11"/>
        <v>26</v>
      </c>
      <c r="P117" s="1">
        <f t="shared" si="12"/>
        <v>10</v>
      </c>
      <c r="Q117" s="1">
        <f t="shared" si="13"/>
        <v>16</v>
      </c>
      <c r="R117" s="6">
        <f t="shared" si="14"/>
        <v>0.53703703703703709</v>
      </c>
      <c r="S117" s="8">
        <f t="shared" si="15"/>
        <v>73.832392703560444</v>
      </c>
      <c r="T117" s="8">
        <f t="shared" si="16"/>
        <v>13.167607296439556</v>
      </c>
      <c r="U117" t="str">
        <f t="shared" si="17"/>
        <v>Low</v>
      </c>
    </row>
    <row r="118" spans="1:21">
      <c r="A118" s="1">
        <v>394</v>
      </c>
      <c r="B118" s="2">
        <v>2003</v>
      </c>
      <c r="C118" s="1" t="s">
        <v>55</v>
      </c>
      <c r="D118" s="1" t="s">
        <v>56</v>
      </c>
      <c r="E118" s="1" t="s">
        <v>17</v>
      </c>
      <c r="F118" s="1" t="s">
        <v>32</v>
      </c>
      <c r="G118" s="9">
        <v>40627000</v>
      </c>
      <c r="H118" s="1">
        <v>68</v>
      </c>
      <c r="I118" s="1">
        <v>94</v>
      </c>
      <c r="J118" s="5">
        <v>21.8</v>
      </c>
      <c r="K118" s="1" t="s">
        <v>19</v>
      </c>
      <c r="L118" s="1" t="s">
        <v>19</v>
      </c>
      <c r="M118" s="10">
        <f t="shared" si="9"/>
        <v>1863623.8532110092</v>
      </c>
      <c r="N118" s="10">
        <f t="shared" si="10"/>
        <v>597455.8823529412</v>
      </c>
      <c r="O118" s="1">
        <f t="shared" si="11"/>
        <v>27</v>
      </c>
      <c r="P118" s="1">
        <f t="shared" si="12"/>
        <v>25</v>
      </c>
      <c r="Q118" s="1">
        <f t="shared" si="13"/>
        <v>2</v>
      </c>
      <c r="R118" s="6">
        <f t="shared" si="14"/>
        <v>0.41975308641975306</v>
      </c>
      <c r="S118" s="8">
        <f t="shared" si="15"/>
        <v>73.446242400020708</v>
      </c>
      <c r="T118" s="8">
        <f t="shared" si="16"/>
        <v>-5.4462424000207079</v>
      </c>
      <c r="U118" t="str">
        <f t="shared" si="17"/>
        <v>Low</v>
      </c>
    </row>
    <row r="119" spans="1:21">
      <c r="A119" s="1">
        <v>446</v>
      </c>
      <c r="B119" s="2">
        <v>2003</v>
      </c>
      <c r="C119" s="1" t="s">
        <v>59</v>
      </c>
      <c r="D119" s="1" t="s">
        <v>60</v>
      </c>
      <c r="E119" s="1" t="s">
        <v>17</v>
      </c>
      <c r="F119" s="1" t="s">
        <v>23</v>
      </c>
      <c r="G119" s="9">
        <v>40525000</v>
      </c>
      <c r="H119" s="1">
        <v>66</v>
      </c>
      <c r="I119" s="1">
        <v>95</v>
      </c>
      <c r="J119" s="5">
        <v>37.4</v>
      </c>
      <c r="K119" s="1" t="s">
        <v>19</v>
      </c>
      <c r="L119" s="1" t="s">
        <v>19</v>
      </c>
      <c r="M119" s="10">
        <f t="shared" si="9"/>
        <v>1083556.1497326205</v>
      </c>
      <c r="N119" s="10">
        <f t="shared" si="10"/>
        <v>614015.15151515149</v>
      </c>
      <c r="O119" s="1">
        <f t="shared" si="11"/>
        <v>28</v>
      </c>
      <c r="P119" s="1">
        <f t="shared" si="12"/>
        <v>27</v>
      </c>
      <c r="Q119" s="1">
        <f t="shared" si="13"/>
        <v>1</v>
      </c>
      <c r="R119" s="6">
        <f t="shared" si="14"/>
        <v>0.40993788819875776</v>
      </c>
      <c r="S119" s="8">
        <f t="shared" si="15"/>
        <v>73.437337283366602</v>
      </c>
      <c r="T119" s="8">
        <f t="shared" si="16"/>
        <v>-7.4373372833666025</v>
      </c>
      <c r="U119" t="str">
        <f t="shared" si="17"/>
        <v>Low</v>
      </c>
    </row>
    <row r="120" spans="1:21">
      <c r="A120" s="1">
        <v>316</v>
      </c>
      <c r="B120" s="2">
        <v>2003</v>
      </c>
      <c r="C120" s="1" t="s">
        <v>49</v>
      </c>
      <c r="D120" s="1" t="s">
        <v>50</v>
      </c>
      <c r="E120" s="1" t="s">
        <v>26</v>
      </c>
      <c r="F120" s="1" t="s">
        <v>46</v>
      </c>
      <c r="G120" s="9">
        <v>40515667</v>
      </c>
      <c r="H120" s="1">
        <v>77</v>
      </c>
      <c r="I120" s="1">
        <v>85</v>
      </c>
      <c r="J120" s="5">
        <v>26.1</v>
      </c>
      <c r="K120" s="1" t="s">
        <v>19</v>
      </c>
      <c r="L120" s="1" t="s">
        <v>19</v>
      </c>
      <c r="M120" s="10">
        <f t="shared" si="9"/>
        <v>1552324.406130268</v>
      </c>
      <c r="N120" s="10">
        <f t="shared" si="10"/>
        <v>526177.49350649351</v>
      </c>
      <c r="O120" s="1">
        <f t="shared" si="11"/>
        <v>29</v>
      </c>
      <c r="P120" s="1">
        <f t="shared" si="12"/>
        <v>19</v>
      </c>
      <c r="Q120" s="1">
        <f t="shared" si="13"/>
        <v>10</v>
      </c>
      <c r="R120" s="6">
        <f t="shared" si="14"/>
        <v>0.47530864197530864</v>
      </c>
      <c r="S120" s="8">
        <f t="shared" si="15"/>
        <v>73.436522465192766</v>
      </c>
      <c r="T120" s="8">
        <f t="shared" si="16"/>
        <v>3.5634775348072338</v>
      </c>
      <c r="U120" t="str">
        <f t="shared" si="17"/>
        <v>Low</v>
      </c>
    </row>
    <row r="121" spans="1:21">
      <c r="A121" s="1">
        <v>706</v>
      </c>
      <c r="B121" s="2">
        <v>2003</v>
      </c>
      <c r="C121" s="1" t="s">
        <v>79</v>
      </c>
      <c r="D121" s="1" t="s">
        <v>80</v>
      </c>
      <c r="E121" s="1" t="s">
        <v>26</v>
      </c>
      <c r="F121" s="1" t="s">
        <v>46</v>
      </c>
      <c r="G121" s="9">
        <v>19630000</v>
      </c>
      <c r="H121" s="1">
        <v>71</v>
      </c>
      <c r="I121" s="1">
        <v>91</v>
      </c>
      <c r="J121" s="5">
        <v>18.600000000000001</v>
      </c>
      <c r="K121" s="1" t="s">
        <v>19</v>
      </c>
      <c r="L121" s="1" t="s">
        <v>19</v>
      </c>
      <c r="M121" s="10">
        <f t="shared" si="9"/>
        <v>1055376.3440860214</v>
      </c>
      <c r="N121" s="10">
        <f t="shared" si="10"/>
        <v>276478.87323943659</v>
      </c>
      <c r="O121" s="1">
        <f t="shared" si="11"/>
        <v>30</v>
      </c>
      <c r="P121" s="1">
        <f t="shared" si="12"/>
        <v>22</v>
      </c>
      <c r="Q121" s="1">
        <f t="shared" si="13"/>
        <v>8</v>
      </c>
      <c r="R121" s="6">
        <f t="shared" si="14"/>
        <v>0.43827160493827161</v>
      </c>
      <c r="S121" s="8">
        <f t="shared" si="15"/>
        <v>71.613097945256087</v>
      </c>
      <c r="T121" s="8">
        <f t="shared" si="16"/>
        <v>-0.61309794525608652</v>
      </c>
      <c r="U121" t="str">
        <f t="shared" si="17"/>
        <v>Low</v>
      </c>
    </row>
    <row r="122" spans="1:21">
      <c r="A122" s="1">
        <v>499</v>
      </c>
      <c r="B122" s="2">
        <v>2004</v>
      </c>
      <c r="C122" s="1" t="s">
        <v>63</v>
      </c>
      <c r="D122" s="1" t="s">
        <v>64</v>
      </c>
      <c r="E122" s="1" t="s">
        <v>26</v>
      </c>
      <c r="F122" s="1" t="s">
        <v>46</v>
      </c>
      <c r="G122" s="9">
        <v>182835513</v>
      </c>
      <c r="H122" s="1">
        <v>91</v>
      </c>
      <c r="I122" s="1">
        <v>71</v>
      </c>
      <c r="J122" s="5">
        <v>42.9</v>
      </c>
      <c r="K122" s="1" t="s">
        <v>19</v>
      </c>
      <c r="L122" s="1" t="s">
        <v>19</v>
      </c>
      <c r="M122" s="10">
        <f t="shared" si="9"/>
        <v>4261900.0699300701</v>
      </c>
      <c r="N122" s="10">
        <f t="shared" si="10"/>
        <v>2009181.4615384615</v>
      </c>
      <c r="O122" s="1">
        <f t="shared" si="11"/>
        <v>1</v>
      </c>
      <c r="P122" s="1">
        <f t="shared" si="12"/>
        <v>9</v>
      </c>
      <c r="Q122" s="1">
        <f t="shared" si="13"/>
        <v>-8</v>
      </c>
      <c r="R122" s="6">
        <f t="shared" si="14"/>
        <v>0.56172839506172845</v>
      </c>
      <c r="S122" s="8">
        <f t="shared" si="15"/>
        <v>85.861765904629536</v>
      </c>
      <c r="T122" s="8">
        <f t="shared" si="16"/>
        <v>5.1382340953704642</v>
      </c>
      <c r="U122" t="str">
        <f t="shared" si="17"/>
        <v>High</v>
      </c>
    </row>
    <row r="123" spans="1:21">
      <c r="A123" s="1">
        <v>83</v>
      </c>
      <c r="B123" s="2">
        <v>2004</v>
      </c>
      <c r="C123" s="1" t="s">
        <v>28</v>
      </c>
      <c r="D123" s="1" t="s">
        <v>29</v>
      </c>
      <c r="E123" s="1" t="s">
        <v>26</v>
      </c>
      <c r="F123" s="1" t="s">
        <v>27</v>
      </c>
      <c r="G123" s="9">
        <v>125208542</v>
      </c>
      <c r="H123" s="1">
        <v>98</v>
      </c>
      <c r="I123" s="1">
        <v>64</v>
      </c>
      <c r="J123" s="5">
        <v>52.2</v>
      </c>
      <c r="K123" s="1" t="s">
        <v>20</v>
      </c>
      <c r="L123" s="1" t="s">
        <v>20</v>
      </c>
      <c r="M123" s="10">
        <f t="shared" si="9"/>
        <v>2398631.0727969347</v>
      </c>
      <c r="N123" s="10">
        <f t="shared" si="10"/>
        <v>1277638.1836734693</v>
      </c>
      <c r="O123" s="1">
        <f t="shared" si="11"/>
        <v>2</v>
      </c>
      <c r="P123" s="1">
        <f t="shared" si="12"/>
        <v>3</v>
      </c>
      <c r="Q123" s="1">
        <f t="shared" si="13"/>
        <v>-1</v>
      </c>
      <c r="R123" s="6">
        <f t="shared" si="14"/>
        <v>0.60493827160493829</v>
      </c>
      <c r="S123" s="8">
        <f t="shared" si="15"/>
        <v>80.830639442109586</v>
      </c>
      <c r="T123" s="8">
        <f t="shared" si="16"/>
        <v>17.169360557890414</v>
      </c>
      <c r="U123" t="str">
        <f t="shared" si="17"/>
        <v>Mid</v>
      </c>
    </row>
    <row r="124" spans="1:21">
      <c r="A124" s="1">
        <v>343</v>
      </c>
      <c r="B124" s="2">
        <v>2004</v>
      </c>
      <c r="C124" s="1" t="s">
        <v>51</v>
      </c>
      <c r="D124" s="1" t="s">
        <v>52</v>
      </c>
      <c r="E124" s="1" t="s">
        <v>17</v>
      </c>
      <c r="F124" s="1" t="s">
        <v>18</v>
      </c>
      <c r="G124" s="9">
        <v>101084667</v>
      </c>
      <c r="H124" s="1">
        <v>93</v>
      </c>
      <c r="I124" s="1">
        <v>69</v>
      </c>
      <c r="J124" s="5">
        <v>41.4</v>
      </c>
      <c r="K124" s="1" t="s">
        <v>20</v>
      </c>
      <c r="L124" s="1" t="s">
        <v>19</v>
      </c>
      <c r="M124" s="10">
        <f t="shared" si="9"/>
        <v>2441658.6231884058</v>
      </c>
      <c r="N124" s="10">
        <f t="shared" si="10"/>
        <v>1086931.9032258065</v>
      </c>
      <c r="O124" s="1">
        <f t="shared" si="11"/>
        <v>3</v>
      </c>
      <c r="P124" s="1">
        <f t="shared" si="12"/>
        <v>5</v>
      </c>
      <c r="Q124" s="1">
        <f t="shared" si="13"/>
        <v>-2</v>
      </c>
      <c r="R124" s="6">
        <f t="shared" si="14"/>
        <v>0.57407407407407407</v>
      </c>
      <c r="S124" s="8">
        <f t="shared" si="15"/>
        <v>78.724502961484518</v>
      </c>
      <c r="T124" s="8">
        <f t="shared" si="16"/>
        <v>14.275497038515482</v>
      </c>
      <c r="U124" t="str">
        <f t="shared" si="17"/>
        <v>Mid</v>
      </c>
    </row>
    <row r="125" spans="1:21">
      <c r="A125" s="1">
        <v>473</v>
      </c>
      <c r="B125" s="2">
        <v>2004</v>
      </c>
      <c r="C125" s="1" t="s">
        <v>61</v>
      </c>
      <c r="D125" s="1" t="s">
        <v>62</v>
      </c>
      <c r="E125" s="1" t="s">
        <v>26</v>
      </c>
      <c r="F125" s="1" t="s">
        <v>27</v>
      </c>
      <c r="G125" s="9">
        <v>100629303</v>
      </c>
      <c r="H125" s="1">
        <v>101</v>
      </c>
      <c r="I125" s="1">
        <v>61</v>
      </c>
      <c r="J125" s="5">
        <v>33.5</v>
      </c>
      <c r="K125" s="1" t="s">
        <v>20</v>
      </c>
      <c r="L125" s="1" t="s">
        <v>19</v>
      </c>
      <c r="M125" s="10">
        <f t="shared" si="9"/>
        <v>3003859.7910447763</v>
      </c>
      <c r="N125" s="10">
        <f t="shared" si="10"/>
        <v>996329.73267326737</v>
      </c>
      <c r="O125" s="1">
        <f t="shared" si="11"/>
        <v>4</v>
      </c>
      <c r="P125" s="1">
        <f t="shared" si="12"/>
        <v>2</v>
      </c>
      <c r="Q125" s="1">
        <f t="shared" si="13"/>
        <v>2</v>
      </c>
      <c r="R125" s="6">
        <f t="shared" si="14"/>
        <v>0.62345679012345678</v>
      </c>
      <c r="S125" s="8">
        <f t="shared" si="15"/>
        <v>78.684747377758299</v>
      </c>
      <c r="T125" s="8">
        <f t="shared" si="16"/>
        <v>22.315252622241701</v>
      </c>
      <c r="U125" t="str">
        <f t="shared" si="17"/>
        <v>Mid</v>
      </c>
    </row>
    <row r="126" spans="1:21">
      <c r="A126" s="1">
        <v>551</v>
      </c>
      <c r="B126" s="2">
        <v>2004</v>
      </c>
      <c r="C126" s="1" t="s">
        <v>67</v>
      </c>
      <c r="D126" s="1" t="s">
        <v>68</v>
      </c>
      <c r="E126" s="1" t="s">
        <v>17</v>
      </c>
      <c r="F126" s="1" t="s">
        <v>32</v>
      </c>
      <c r="G126" s="9">
        <v>93219167</v>
      </c>
      <c r="H126" s="1">
        <v>72</v>
      </c>
      <c r="I126" s="1">
        <v>89</v>
      </c>
      <c r="J126" s="5">
        <v>40.799999999999997</v>
      </c>
      <c r="K126" s="1" t="s">
        <v>19</v>
      </c>
      <c r="L126" s="1" t="s">
        <v>19</v>
      </c>
      <c r="M126" s="10">
        <f t="shared" si="9"/>
        <v>2284783.504901961</v>
      </c>
      <c r="N126" s="10">
        <f t="shared" si="10"/>
        <v>1294710.6527777778</v>
      </c>
      <c r="O126" s="1">
        <f t="shared" si="11"/>
        <v>5</v>
      </c>
      <c r="P126" s="1">
        <f t="shared" si="12"/>
        <v>20</v>
      </c>
      <c r="Q126" s="1">
        <f t="shared" si="13"/>
        <v>-15</v>
      </c>
      <c r="R126" s="6">
        <f t="shared" si="14"/>
        <v>0.44720496894409939</v>
      </c>
      <c r="S126" s="8">
        <f t="shared" si="15"/>
        <v>78.037804970869132</v>
      </c>
      <c r="T126" s="8">
        <f t="shared" si="16"/>
        <v>-6.0378049708691321</v>
      </c>
      <c r="U126" t="str">
        <f t="shared" si="17"/>
        <v>Mid</v>
      </c>
    </row>
    <row r="127" spans="1:21">
      <c r="A127" s="1">
        <v>109</v>
      </c>
      <c r="B127" s="2">
        <v>2004</v>
      </c>
      <c r="C127" s="1" t="s">
        <v>30</v>
      </c>
      <c r="D127" s="1" t="s">
        <v>31</v>
      </c>
      <c r="E127" s="1" t="s">
        <v>17</v>
      </c>
      <c r="F127" s="1" t="s">
        <v>32</v>
      </c>
      <c r="G127" s="9">
        <v>91101667</v>
      </c>
      <c r="H127" s="1">
        <v>89</v>
      </c>
      <c r="I127" s="1">
        <v>73</v>
      </c>
      <c r="J127" s="5">
        <v>44.6</v>
      </c>
      <c r="K127" s="1" t="s">
        <v>19</v>
      </c>
      <c r="L127" s="1" t="s">
        <v>19</v>
      </c>
      <c r="M127" s="10">
        <f t="shared" si="9"/>
        <v>2042638.2735426009</v>
      </c>
      <c r="N127" s="10">
        <f t="shared" si="10"/>
        <v>1023614.2359550562</v>
      </c>
      <c r="O127" s="1">
        <f t="shared" si="11"/>
        <v>6</v>
      </c>
      <c r="P127" s="1">
        <f t="shared" si="12"/>
        <v>11</v>
      </c>
      <c r="Q127" s="1">
        <f t="shared" si="13"/>
        <v>-5</v>
      </c>
      <c r="R127" s="6">
        <f t="shared" si="14"/>
        <v>0.54938271604938271</v>
      </c>
      <c r="S127" s="8">
        <f t="shared" si="15"/>
        <v>77.852936495231475</v>
      </c>
      <c r="T127" s="8">
        <f t="shared" si="16"/>
        <v>11.147063504768525</v>
      </c>
      <c r="U127" t="str">
        <f t="shared" si="17"/>
        <v>Mid</v>
      </c>
    </row>
    <row r="128" spans="1:21">
      <c r="A128" s="1">
        <v>369</v>
      </c>
      <c r="B128" s="2">
        <v>2004</v>
      </c>
      <c r="C128" s="1" t="s">
        <v>53</v>
      </c>
      <c r="D128" s="1" t="s">
        <v>54</v>
      </c>
      <c r="E128" s="1" t="s">
        <v>17</v>
      </c>
      <c r="F128" s="1" t="s">
        <v>23</v>
      </c>
      <c r="G128" s="9">
        <v>89694342</v>
      </c>
      <c r="H128" s="1">
        <v>83</v>
      </c>
      <c r="I128" s="1">
        <v>79</v>
      </c>
      <c r="J128" s="5">
        <v>44.9</v>
      </c>
      <c r="K128" s="1" t="s">
        <v>19</v>
      </c>
      <c r="L128" s="1" t="s">
        <v>19</v>
      </c>
      <c r="M128" s="10">
        <f t="shared" si="9"/>
        <v>1997646.8151447661</v>
      </c>
      <c r="N128" s="10">
        <f t="shared" si="10"/>
        <v>1080654.7228915663</v>
      </c>
      <c r="O128" s="1">
        <f t="shared" si="11"/>
        <v>7</v>
      </c>
      <c r="P128" s="1">
        <f t="shared" si="12"/>
        <v>15</v>
      </c>
      <c r="Q128" s="1">
        <f t="shared" si="13"/>
        <v>-8</v>
      </c>
      <c r="R128" s="6">
        <f t="shared" si="14"/>
        <v>0.51234567901234573</v>
      </c>
      <c r="S128" s="8">
        <f t="shared" si="15"/>
        <v>77.730069894297927</v>
      </c>
      <c r="T128" s="8">
        <f t="shared" si="16"/>
        <v>5.2699301057020733</v>
      </c>
      <c r="U128" t="str">
        <f t="shared" si="17"/>
        <v>Mid</v>
      </c>
    </row>
    <row r="129" spans="1:21">
      <c r="A129" s="1">
        <v>31</v>
      </c>
      <c r="B129" s="2">
        <v>2004</v>
      </c>
      <c r="C129" s="1" t="s">
        <v>21</v>
      </c>
      <c r="D129" s="1" t="s">
        <v>22</v>
      </c>
      <c r="E129" s="1" t="s">
        <v>17</v>
      </c>
      <c r="F129" s="1" t="s">
        <v>23</v>
      </c>
      <c r="G129" s="9">
        <v>88507788</v>
      </c>
      <c r="H129" s="1">
        <v>96</v>
      </c>
      <c r="I129" s="1">
        <v>66</v>
      </c>
      <c r="J129" s="5">
        <v>43.1</v>
      </c>
      <c r="K129" s="1" t="s">
        <v>20</v>
      </c>
      <c r="L129" s="1" t="s">
        <v>19</v>
      </c>
      <c r="M129" s="10">
        <f t="shared" si="9"/>
        <v>2053544.9651972158</v>
      </c>
      <c r="N129" s="10">
        <f t="shared" si="10"/>
        <v>921956.125</v>
      </c>
      <c r="O129" s="1">
        <f t="shared" si="11"/>
        <v>8</v>
      </c>
      <c r="P129" s="1">
        <f t="shared" si="12"/>
        <v>4</v>
      </c>
      <c r="Q129" s="1">
        <f t="shared" si="13"/>
        <v>4</v>
      </c>
      <c r="R129" s="6">
        <f t="shared" si="14"/>
        <v>0.59259259259259256</v>
      </c>
      <c r="S129" s="8">
        <f t="shared" si="15"/>
        <v>77.626477719921652</v>
      </c>
      <c r="T129" s="8">
        <f t="shared" si="16"/>
        <v>18.373522280078348</v>
      </c>
      <c r="U129" t="str">
        <f t="shared" si="17"/>
        <v>Mid</v>
      </c>
    </row>
    <row r="130" spans="1:21">
      <c r="A130" s="1">
        <v>629</v>
      </c>
      <c r="B130" s="2">
        <v>2004</v>
      </c>
      <c r="C130" s="1" t="s">
        <v>73</v>
      </c>
      <c r="D130" s="1" t="s">
        <v>74</v>
      </c>
      <c r="E130" s="1" t="s">
        <v>26</v>
      </c>
      <c r="F130" s="1" t="s">
        <v>46</v>
      </c>
      <c r="G130" s="9">
        <v>82019167</v>
      </c>
      <c r="H130" s="1">
        <v>63</v>
      </c>
      <c r="I130" s="1">
        <v>99</v>
      </c>
      <c r="J130" s="5">
        <v>45.1</v>
      </c>
      <c r="K130" s="1" t="s">
        <v>19</v>
      </c>
      <c r="L130" s="1" t="s">
        <v>19</v>
      </c>
      <c r="M130" s="10">
        <f t="shared" ref="M130:M193" si="18">G130/J130</f>
        <v>1818606.8070953437</v>
      </c>
      <c r="N130" s="10">
        <f t="shared" ref="N130:N193" si="19">G130/H130</f>
        <v>1301891.5396825396</v>
      </c>
      <c r="O130" s="1">
        <f t="shared" si="11"/>
        <v>9</v>
      </c>
      <c r="P130" s="1">
        <f t="shared" si="12"/>
        <v>28</v>
      </c>
      <c r="Q130" s="1">
        <f t="shared" si="13"/>
        <v>-19</v>
      </c>
      <c r="R130" s="6">
        <f t="shared" si="14"/>
        <v>0.3888888888888889</v>
      </c>
      <c r="S130" s="8">
        <f t="shared" si="15"/>
        <v>77.059988240223632</v>
      </c>
      <c r="T130" s="8">
        <f t="shared" si="16"/>
        <v>-14.059988240223632</v>
      </c>
      <c r="U130" t="str">
        <f t="shared" si="17"/>
        <v>Mid</v>
      </c>
    </row>
    <row r="131" spans="1:21">
      <c r="A131" s="1">
        <v>655</v>
      </c>
      <c r="B131" s="2">
        <v>2004</v>
      </c>
      <c r="C131" s="1" t="s">
        <v>75</v>
      </c>
      <c r="D131" s="1" t="s">
        <v>76</v>
      </c>
      <c r="E131" s="1" t="s">
        <v>17</v>
      </c>
      <c r="F131" s="1" t="s">
        <v>32</v>
      </c>
      <c r="G131" s="9">
        <v>81543833</v>
      </c>
      <c r="H131" s="1">
        <v>105</v>
      </c>
      <c r="I131" s="1">
        <v>57</v>
      </c>
      <c r="J131" s="5">
        <v>21.5</v>
      </c>
      <c r="K131" s="1" t="s">
        <v>20</v>
      </c>
      <c r="L131" s="1" t="s">
        <v>19</v>
      </c>
      <c r="M131" s="10">
        <f t="shared" si="18"/>
        <v>3792736.418604651</v>
      </c>
      <c r="N131" s="10">
        <f t="shared" si="19"/>
        <v>776607.93333333335</v>
      </c>
      <c r="O131" s="1">
        <f t="shared" ref="O131:O194" si="20">COUNTIFS($B$2:$B$1000, B131, $G$2:$G$1000, "&gt;"&amp;G131) + 1</f>
        <v>10</v>
      </c>
      <c r="P131" s="1">
        <f t="shared" ref="P131:P194" si="21">COUNTIFS($B$2:$B$1000, B131, $H$2:$H$1000, "&gt;"&amp;H131) + 1</f>
        <v>1</v>
      </c>
      <c r="Q131" s="1">
        <f t="shared" ref="Q131:Q194" si="22">O131-P131</f>
        <v>9</v>
      </c>
      <c r="R131" s="6">
        <f t="shared" ref="R131:R194" si="23">H131/(H131+I131)</f>
        <v>0.64814814814814814</v>
      </c>
      <c r="S131" s="8">
        <f t="shared" ref="S131:S194" si="24">_xlfn.FORECAST.LINEAR(G131, $H$2:$H$781, $G$2:$G$781)</f>
        <v>77.018489174344637</v>
      </c>
      <c r="T131" s="8">
        <f t="shared" ref="T131:T194" si="25">H131-S131</f>
        <v>27.981510825655363</v>
      </c>
      <c r="U131" t="str">
        <f t="shared" ref="U131:U194" si="26">IF(G131&lt;80000000,"Low",
 IF(G131&lt;150000000,"Mid","High"))</f>
        <v>Mid</v>
      </c>
    </row>
    <row r="132" spans="1:21">
      <c r="A132" s="1">
        <v>681</v>
      </c>
      <c r="B132" s="2">
        <v>2004</v>
      </c>
      <c r="C132" s="1" t="s">
        <v>77</v>
      </c>
      <c r="D132" s="1" t="s">
        <v>78</v>
      </c>
      <c r="E132" s="1" t="s">
        <v>26</v>
      </c>
      <c r="F132" s="1" t="s">
        <v>27</v>
      </c>
      <c r="G132" s="9">
        <v>75633517</v>
      </c>
      <c r="H132" s="1">
        <v>70</v>
      </c>
      <c r="I132" s="1">
        <v>91</v>
      </c>
      <c r="J132" s="5">
        <v>56.3</v>
      </c>
      <c r="K132" s="1" t="s">
        <v>19</v>
      </c>
      <c r="L132" s="1" t="s">
        <v>19</v>
      </c>
      <c r="M132" s="10">
        <f t="shared" si="18"/>
        <v>1343401.7229129663</v>
      </c>
      <c r="N132" s="10">
        <f t="shared" si="19"/>
        <v>1080478.8142857142</v>
      </c>
      <c r="O132" s="1">
        <f t="shared" si="20"/>
        <v>11</v>
      </c>
      <c r="P132" s="1">
        <f t="shared" si="21"/>
        <v>23</v>
      </c>
      <c r="Q132" s="1">
        <f t="shared" si="22"/>
        <v>-12</v>
      </c>
      <c r="R132" s="6">
        <f t="shared" si="23"/>
        <v>0.43478260869565216</v>
      </c>
      <c r="S132" s="8">
        <f t="shared" si="24"/>
        <v>76.50248865039805</v>
      </c>
      <c r="T132" s="8">
        <f t="shared" si="25"/>
        <v>-6.5024886503980497</v>
      </c>
      <c r="U132" t="str">
        <f t="shared" si="26"/>
        <v>Low</v>
      </c>
    </row>
    <row r="133" spans="1:21">
      <c r="A133" s="1">
        <v>291</v>
      </c>
      <c r="B133" s="2">
        <v>2004</v>
      </c>
      <c r="C133" s="1" t="s">
        <v>47</v>
      </c>
      <c r="D133" s="1" t="s">
        <v>48</v>
      </c>
      <c r="E133" s="1" t="s">
        <v>26</v>
      </c>
      <c r="F133" s="1" t="s">
        <v>35</v>
      </c>
      <c r="G133" s="9">
        <v>74666303</v>
      </c>
      <c r="H133" s="1">
        <v>58</v>
      </c>
      <c r="I133" s="1">
        <v>104</v>
      </c>
      <c r="J133" s="5">
        <v>46.8</v>
      </c>
      <c r="K133" s="1" t="s">
        <v>19</v>
      </c>
      <c r="L133" s="1" t="s">
        <v>19</v>
      </c>
      <c r="M133" s="10">
        <f t="shared" si="18"/>
        <v>1595433.824786325</v>
      </c>
      <c r="N133" s="10">
        <f t="shared" si="19"/>
        <v>1287350.051724138</v>
      </c>
      <c r="O133" s="1">
        <f t="shared" si="20"/>
        <v>12</v>
      </c>
      <c r="P133" s="1">
        <f t="shared" si="21"/>
        <v>29</v>
      </c>
      <c r="Q133" s="1">
        <f t="shared" si="22"/>
        <v>-17</v>
      </c>
      <c r="R133" s="6">
        <f t="shared" si="23"/>
        <v>0.35802469135802467</v>
      </c>
      <c r="S133" s="8">
        <f t="shared" si="24"/>
        <v>76.418045969030686</v>
      </c>
      <c r="T133" s="8">
        <f t="shared" si="25"/>
        <v>-18.418045969030686</v>
      </c>
      <c r="U133" t="str">
        <f t="shared" si="26"/>
        <v>Low</v>
      </c>
    </row>
    <row r="134" spans="1:21">
      <c r="A134" s="1">
        <v>5</v>
      </c>
      <c r="B134" s="2">
        <v>2004</v>
      </c>
      <c r="C134" s="1" t="s">
        <v>15</v>
      </c>
      <c r="D134" s="1" t="s">
        <v>16</v>
      </c>
      <c r="E134" s="1" t="s">
        <v>17</v>
      </c>
      <c r="F134" s="1" t="s">
        <v>18</v>
      </c>
      <c r="G134" s="9">
        <v>70204984</v>
      </c>
      <c r="H134" s="1">
        <v>51</v>
      </c>
      <c r="I134" s="1">
        <v>111</v>
      </c>
      <c r="J134" s="5">
        <v>16.8</v>
      </c>
      <c r="K134" s="1" t="s">
        <v>19</v>
      </c>
      <c r="L134" s="1" t="s">
        <v>19</v>
      </c>
      <c r="M134" s="10">
        <f t="shared" si="18"/>
        <v>4178868.0952380951</v>
      </c>
      <c r="N134" s="10">
        <f t="shared" si="19"/>
        <v>1376568.3137254901</v>
      </c>
      <c r="O134" s="1">
        <f t="shared" si="20"/>
        <v>13</v>
      </c>
      <c r="P134" s="1">
        <f t="shared" si="21"/>
        <v>30</v>
      </c>
      <c r="Q134" s="1">
        <f t="shared" si="22"/>
        <v>-17</v>
      </c>
      <c r="R134" s="6">
        <f t="shared" si="23"/>
        <v>0.31481481481481483</v>
      </c>
      <c r="S134" s="8">
        <f t="shared" si="24"/>
        <v>76.028550222696154</v>
      </c>
      <c r="T134" s="8">
        <f t="shared" si="25"/>
        <v>-25.028550222696154</v>
      </c>
      <c r="U134" t="str">
        <f t="shared" si="26"/>
        <v>Low</v>
      </c>
    </row>
    <row r="135" spans="1:21">
      <c r="A135" s="1">
        <v>135</v>
      </c>
      <c r="B135" s="2">
        <v>2004</v>
      </c>
      <c r="C135" s="1" t="s">
        <v>33</v>
      </c>
      <c r="D135" s="1" t="s">
        <v>34</v>
      </c>
      <c r="E135" s="1" t="s">
        <v>26</v>
      </c>
      <c r="F135" s="1" t="s">
        <v>35</v>
      </c>
      <c r="G135" s="9">
        <v>65212500</v>
      </c>
      <c r="H135" s="1">
        <v>83</v>
      </c>
      <c r="I135" s="1">
        <v>79</v>
      </c>
      <c r="J135" s="5">
        <v>35.9</v>
      </c>
      <c r="K135" s="1" t="s">
        <v>19</v>
      </c>
      <c r="L135" s="1" t="s">
        <v>19</v>
      </c>
      <c r="M135" s="10">
        <f t="shared" si="18"/>
        <v>1816504.1782729805</v>
      </c>
      <c r="N135" s="10">
        <f t="shared" si="19"/>
        <v>785692.77108433738</v>
      </c>
      <c r="O135" s="1">
        <f t="shared" si="20"/>
        <v>14</v>
      </c>
      <c r="P135" s="1">
        <f t="shared" si="21"/>
        <v>15</v>
      </c>
      <c r="Q135" s="1">
        <f t="shared" si="22"/>
        <v>-1</v>
      </c>
      <c r="R135" s="6">
        <f t="shared" si="23"/>
        <v>0.51234567901234573</v>
      </c>
      <c r="S135" s="8">
        <f t="shared" si="24"/>
        <v>75.592681081385436</v>
      </c>
      <c r="T135" s="8">
        <f t="shared" si="25"/>
        <v>7.407318918614564</v>
      </c>
      <c r="U135" t="str">
        <f t="shared" si="26"/>
        <v>Low</v>
      </c>
    </row>
    <row r="136" spans="1:21">
      <c r="A136" s="1">
        <v>213</v>
      </c>
      <c r="B136" s="2">
        <v>2004</v>
      </c>
      <c r="C136" s="1" t="s">
        <v>40</v>
      </c>
      <c r="D136" s="1" t="s">
        <v>41</v>
      </c>
      <c r="E136" s="1" t="s">
        <v>17</v>
      </c>
      <c r="F136" s="1" t="s">
        <v>18</v>
      </c>
      <c r="G136" s="9">
        <v>64590403</v>
      </c>
      <c r="H136" s="1">
        <v>68</v>
      </c>
      <c r="I136" s="1">
        <v>94</v>
      </c>
      <c r="J136" s="5">
        <v>27.6</v>
      </c>
      <c r="K136" s="1" t="s">
        <v>19</v>
      </c>
      <c r="L136" s="1" t="s">
        <v>19</v>
      </c>
      <c r="M136" s="10">
        <f t="shared" si="18"/>
        <v>2340231.9927536231</v>
      </c>
      <c r="N136" s="10">
        <f t="shared" si="19"/>
        <v>949858.8676470588</v>
      </c>
      <c r="O136" s="1">
        <f t="shared" si="20"/>
        <v>15</v>
      </c>
      <c r="P136" s="1">
        <f t="shared" si="21"/>
        <v>24</v>
      </c>
      <c r="Q136" s="1">
        <f t="shared" si="22"/>
        <v>-9</v>
      </c>
      <c r="R136" s="6">
        <f t="shared" si="23"/>
        <v>0.41975308641975306</v>
      </c>
      <c r="S136" s="8">
        <f t="shared" si="24"/>
        <v>75.538368862217197</v>
      </c>
      <c r="T136" s="8">
        <f t="shared" si="25"/>
        <v>-7.5383688622171974</v>
      </c>
      <c r="U136" t="str">
        <f t="shared" si="26"/>
        <v>Low</v>
      </c>
    </row>
    <row r="137" spans="1:21">
      <c r="A137" s="1">
        <v>525</v>
      </c>
      <c r="B137" s="2">
        <v>2004</v>
      </c>
      <c r="C137" s="1" t="s">
        <v>65</v>
      </c>
      <c r="D137" s="1" t="s">
        <v>66</v>
      </c>
      <c r="E137" s="1" t="s">
        <v>17</v>
      </c>
      <c r="F137" s="1" t="s">
        <v>23</v>
      </c>
      <c r="G137" s="9">
        <v>59825167</v>
      </c>
      <c r="H137" s="1">
        <v>86</v>
      </c>
      <c r="I137" s="1">
        <v>76</v>
      </c>
      <c r="J137" s="5">
        <v>44.2</v>
      </c>
      <c r="K137" s="1" t="s">
        <v>19</v>
      </c>
      <c r="L137" s="1" t="s">
        <v>19</v>
      </c>
      <c r="M137" s="10">
        <f t="shared" si="18"/>
        <v>1353510.5656108595</v>
      </c>
      <c r="N137" s="10">
        <f t="shared" si="19"/>
        <v>695641.47674418602</v>
      </c>
      <c r="O137" s="1">
        <f t="shared" si="20"/>
        <v>16</v>
      </c>
      <c r="P137" s="1">
        <f t="shared" si="21"/>
        <v>14</v>
      </c>
      <c r="Q137" s="1">
        <f t="shared" si="22"/>
        <v>2</v>
      </c>
      <c r="R137" s="6">
        <f t="shared" si="23"/>
        <v>0.53086419753086422</v>
      </c>
      <c r="S137" s="8">
        <f t="shared" si="24"/>
        <v>75.122339622371271</v>
      </c>
      <c r="T137" s="8">
        <f t="shared" si="25"/>
        <v>10.877660377628729</v>
      </c>
      <c r="U137" t="str">
        <f t="shared" si="26"/>
        <v>Low</v>
      </c>
    </row>
    <row r="138" spans="1:21">
      <c r="A138" s="1">
        <v>733</v>
      </c>
      <c r="B138" s="2">
        <v>2004</v>
      </c>
      <c r="C138" s="1" t="s">
        <v>81</v>
      </c>
      <c r="D138" s="1" t="s">
        <v>82</v>
      </c>
      <c r="E138" s="1" t="s">
        <v>26</v>
      </c>
      <c r="F138" s="1" t="s">
        <v>27</v>
      </c>
      <c r="G138" s="9">
        <v>54825973</v>
      </c>
      <c r="H138" s="1">
        <v>67</v>
      </c>
      <c r="I138" s="1">
        <v>94</v>
      </c>
      <c r="J138" s="5">
        <v>41.7</v>
      </c>
      <c r="K138" s="1" t="s">
        <v>19</v>
      </c>
      <c r="L138" s="1" t="s">
        <v>19</v>
      </c>
      <c r="M138" s="10">
        <f t="shared" si="18"/>
        <v>1314771.5347721821</v>
      </c>
      <c r="N138" s="10">
        <f t="shared" si="19"/>
        <v>818298.10447761195</v>
      </c>
      <c r="O138" s="1">
        <f t="shared" si="20"/>
        <v>17</v>
      </c>
      <c r="P138" s="1">
        <f t="shared" si="21"/>
        <v>25</v>
      </c>
      <c r="Q138" s="1">
        <f t="shared" si="22"/>
        <v>-8</v>
      </c>
      <c r="R138" s="6">
        <f t="shared" si="23"/>
        <v>0.41614906832298137</v>
      </c>
      <c r="S138" s="8">
        <f t="shared" si="24"/>
        <v>74.68588466407283</v>
      </c>
      <c r="T138" s="8">
        <f t="shared" si="25"/>
        <v>-7.6858846640728302</v>
      </c>
      <c r="U138" t="str">
        <f t="shared" si="26"/>
        <v>Low</v>
      </c>
    </row>
    <row r="139" spans="1:21">
      <c r="A139" s="1">
        <v>603</v>
      </c>
      <c r="B139" s="2">
        <v>2004</v>
      </c>
      <c r="C139" s="1" t="s">
        <v>71</v>
      </c>
      <c r="D139" s="1" t="s">
        <v>72</v>
      </c>
      <c r="E139" s="1" t="s">
        <v>17</v>
      </c>
      <c r="F139" s="1" t="s">
        <v>18</v>
      </c>
      <c r="G139" s="9">
        <v>54639503</v>
      </c>
      <c r="H139" s="1">
        <v>91</v>
      </c>
      <c r="I139" s="1">
        <v>71</v>
      </c>
      <c r="J139" s="5">
        <v>38.9</v>
      </c>
      <c r="K139" s="1" t="s">
        <v>19</v>
      </c>
      <c r="L139" s="1" t="s">
        <v>19</v>
      </c>
      <c r="M139" s="10">
        <f t="shared" si="18"/>
        <v>1404614.473007712</v>
      </c>
      <c r="N139" s="10">
        <f t="shared" si="19"/>
        <v>600434.09890109894</v>
      </c>
      <c r="O139" s="1">
        <f t="shared" si="20"/>
        <v>18</v>
      </c>
      <c r="P139" s="1">
        <f t="shared" si="21"/>
        <v>9</v>
      </c>
      <c r="Q139" s="1">
        <f t="shared" si="22"/>
        <v>9</v>
      </c>
      <c r="R139" s="6">
        <f t="shared" si="23"/>
        <v>0.56172839506172845</v>
      </c>
      <c r="S139" s="8">
        <f t="shared" si="24"/>
        <v>74.66960488855824</v>
      </c>
      <c r="T139" s="8">
        <f t="shared" si="25"/>
        <v>16.33039511144176</v>
      </c>
      <c r="U139" t="str">
        <f t="shared" si="26"/>
        <v>Low</v>
      </c>
    </row>
    <row r="140" spans="1:21">
      <c r="A140" s="1">
        <v>421</v>
      </c>
      <c r="B140" s="2">
        <v>2004</v>
      </c>
      <c r="C140" s="1" t="s">
        <v>57</v>
      </c>
      <c r="D140" s="1" t="s">
        <v>58</v>
      </c>
      <c r="E140" s="1" t="s">
        <v>26</v>
      </c>
      <c r="F140" s="1" t="s">
        <v>35</v>
      </c>
      <c r="G140" s="9">
        <v>53585000</v>
      </c>
      <c r="H140" s="1">
        <v>92</v>
      </c>
      <c r="I140" s="1">
        <v>70</v>
      </c>
      <c r="J140" s="5">
        <v>48.3</v>
      </c>
      <c r="K140" s="1" t="s">
        <v>20</v>
      </c>
      <c r="L140" s="1" t="s">
        <v>19</v>
      </c>
      <c r="M140" s="10">
        <f t="shared" si="18"/>
        <v>1109420.2898550725</v>
      </c>
      <c r="N140" s="10">
        <f t="shared" si="19"/>
        <v>582445.65217391308</v>
      </c>
      <c r="O140" s="1">
        <f t="shared" si="20"/>
        <v>19</v>
      </c>
      <c r="P140" s="1">
        <f t="shared" si="21"/>
        <v>6</v>
      </c>
      <c r="Q140" s="1">
        <f t="shared" si="22"/>
        <v>13</v>
      </c>
      <c r="R140" s="6">
        <f t="shared" si="23"/>
        <v>0.5679012345679012</v>
      </c>
      <c r="S140" s="8">
        <f t="shared" si="24"/>
        <v>74.577541435351463</v>
      </c>
      <c r="T140" s="8">
        <f t="shared" si="25"/>
        <v>17.422458564648537</v>
      </c>
      <c r="U140" t="str">
        <f t="shared" si="26"/>
        <v>Low</v>
      </c>
    </row>
    <row r="141" spans="1:21">
      <c r="A141" s="1">
        <v>57</v>
      </c>
      <c r="B141" s="2">
        <v>2004</v>
      </c>
      <c r="C141" s="1" t="s">
        <v>24</v>
      </c>
      <c r="D141" s="1" t="s">
        <v>25</v>
      </c>
      <c r="E141" s="1" t="s">
        <v>26</v>
      </c>
      <c r="F141" s="1" t="s">
        <v>27</v>
      </c>
      <c r="G141" s="9">
        <v>51212653</v>
      </c>
      <c r="H141" s="1">
        <v>78</v>
      </c>
      <c r="I141" s="1">
        <v>84</v>
      </c>
      <c r="J141" s="5">
        <v>36.700000000000003</v>
      </c>
      <c r="K141" s="1" t="s">
        <v>19</v>
      </c>
      <c r="L141" s="1" t="s">
        <v>19</v>
      </c>
      <c r="M141" s="10">
        <f t="shared" si="18"/>
        <v>1395440.136239782</v>
      </c>
      <c r="N141" s="10">
        <f t="shared" si="19"/>
        <v>656572.47435897437</v>
      </c>
      <c r="O141" s="1">
        <f t="shared" si="20"/>
        <v>20</v>
      </c>
      <c r="P141" s="1">
        <f t="shared" si="21"/>
        <v>18</v>
      </c>
      <c r="Q141" s="1">
        <f t="shared" si="22"/>
        <v>2</v>
      </c>
      <c r="R141" s="6">
        <f t="shared" si="23"/>
        <v>0.48148148148148145</v>
      </c>
      <c r="S141" s="8">
        <f t="shared" si="24"/>
        <v>74.370423525753537</v>
      </c>
      <c r="T141" s="8">
        <f t="shared" si="25"/>
        <v>3.6295764742464627</v>
      </c>
      <c r="U141" t="str">
        <f t="shared" si="26"/>
        <v>Low</v>
      </c>
    </row>
    <row r="142" spans="1:21">
      <c r="A142" s="1">
        <v>759</v>
      </c>
      <c r="B142" s="2">
        <v>2004</v>
      </c>
      <c r="C142" s="1" t="s">
        <v>83</v>
      </c>
      <c r="D142" s="1" t="s">
        <v>84</v>
      </c>
      <c r="E142" s="1" t="s">
        <v>17</v>
      </c>
      <c r="F142" s="1" t="s">
        <v>23</v>
      </c>
      <c r="G142" s="9">
        <v>50017000</v>
      </c>
      <c r="H142" s="1">
        <v>67</v>
      </c>
      <c r="I142" s="1">
        <v>95</v>
      </c>
      <c r="J142" s="5">
        <v>27.4</v>
      </c>
      <c r="K142" s="1" t="s">
        <v>19</v>
      </c>
      <c r="L142" s="1" t="s">
        <v>19</v>
      </c>
      <c r="M142" s="10">
        <f t="shared" si="18"/>
        <v>1825437.9562043797</v>
      </c>
      <c r="N142" s="10">
        <f t="shared" si="19"/>
        <v>746522.38805970154</v>
      </c>
      <c r="O142" s="1">
        <f t="shared" si="20"/>
        <v>21</v>
      </c>
      <c r="P142" s="1">
        <f t="shared" si="21"/>
        <v>25</v>
      </c>
      <c r="Q142" s="1">
        <f t="shared" si="22"/>
        <v>-4</v>
      </c>
      <c r="R142" s="6">
        <f t="shared" si="23"/>
        <v>0.41358024691358025</v>
      </c>
      <c r="S142" s="8">
        <f t="shared" si="24"/>
        <v>74.266036962588672</v>
      </c>
      <c r="T142" s="8">
        <f t="shared" si="25"/>
        <v>-7.2660369625886716</v>
      </c>
      <c r="U142" t="str">
        <f t="shared" si="26"/>
        <v>Low</v>
      </c>
    </row>
    <row r="143" spans="1:21">
      <c r="A143" s="1">
        <v>317</v>
      </c>
      <c r="B143" s="2">
        <v>2004</v>
      </c>
      <c r="C143" s="1" t="s">
        <v>49</v>
      </c>
      <c r="D143" s="1" t="s">
        <v>50</v>
      </c>
      <c r="E143" s="1" t="s">
        <v>26</v>
      </c>
      <c r="F143" s="1" t="s">
        <v>46</v>
      </c>
      <c r="G143" s="9">
        <v>47609000</v>
      </c>
      <c r="H143" s="1">
        <v>92</v>
      </c>
      <c r="I143" s="1">
        <v>70</v>
      </c>
      <c r="J143" s="5">
        <v>19.100000000000001</v>
      </c>
      <c r="K143" s="1" t="s">
        <v>20</v>
      </c>
      <c r="L143" s="1" t="s">
        <v>19</v>
      </c>
      <c r="M143" s="10">
        <f t="shared" si="18"/>
        <v>2492617.8010471202</v>
      </c>
      <c r="N143" s="10">
        <f t="shared" si="19"/>
        <v>517489.13043478259</v>
      </c>
      <c r="O143" s="1">
        <f t="shared" si="20"/>
        <v>22</v>
      </c>
      <c r="P143" s="1">
        <f t="shared" si="21"/>
        <v>6</v>
      </c>
      <c r="Q143" s="1">
        <f t="shared" si="22"/>
        <v>16</v>
      </c>
      <c r="R143" s="6">
        <f t="shared" si="23"/>
        <v>0.5679012345679012</v>
      </c>
      <c r="S143" s="8">
        <f t="shared" si="24"/>
        <v>74.05580636549989</v>
      </c>
      <c r="T143" s="8">
        <f t="shared" si="25"/>
        <v>17.94419363450011</v>
      </c>
      <c r="U143" t="str">
        <f t="shared" si="26"/>
        <v>Low</v>
      </c>
    </row>
    <row r="144" spans="1:21">
      <c r="A144" s="1">
        <v>239</v>
      </c>
      <c r="B144" s="2">
        <v>2004</v>
      </c>
      <c r="C144" s="1" t="s">
        <v>42</v>
      </c>
      <c r="D144" s="1" t="s">
        <v>43</v>
      </c>
      <c r="E144" s="1" t="s">
        <v>26</v>
      </c>
      <c r="F144" s="1" t="s">
        <v>35</v>
      </c>
      <c r="G144" s="9">
        <v>46353554</v>
      </c>
      <c r="H144" s="1">
        <v>72</v>
      </c>
      <c r="I144" s="1">
        <v>90</v>
      </c>
      <c r="J144" s="5">
        <v>33.9</v>
      </c>
      <c r="K144" s="1" t="s">
        <v>19</v>
      </c>
      <c r="L144" s="1" t="s">
        <v>19</v>
      </c>
      <c r="M144" s="10">
        <f t="shared" si="18"/>
        <v>1367361.4749262538</v>
      </c>
      <c r="N144" s="10">
        <f t="shared" si="19"/>
        <v>643799.36111111112</v>
      </c>
      <c r="O144" s="1">
        <f t="shared" si="20"/>
        <v>23</v>
      </c>
      <c r="P144" s="1">
        <f t="shared" si="21"/>
        <v>20</v>
      </c>
      <c r="Q144" s="1">
        <f t="shared" si="22"/>
        <v>3</v>
      </c>
      <c r="R144" s="6">
        <f t="shared" si="23"/>
        <v>0.44444444444444442</v>
      </c>
      <c r="S144" s="8">
        <f t="shared" si="24"/>
        <v>73.946199570569362</v>
      </c>
      <c r="T144" s="8">
        <f t="shared" si="25"/>
        <v>-1.9461995705693624</v>
      </c>
      <c r="U144" t="str">
        <f t="shared" si="26"/>
        <v>Low</v>
      </c>
    </row>
    <row r="145" spans="1:21">
      <c r="A145" s="1">
        <v>447</v>
      </c>
      <c r="B145" s="2">
        <v>2004</v>
      </c>
      <c r="C145" s="1" t="s">
        <v>59</v>
      </c>
      <c r="D145" s="1" t="s">
        <v>60</v>
      </c>
      <c r="E145" s="1" t="s">
        <v>17</v>
      </c>
      <c r="F145" s="1" t="s">
        <v>23</v>
      </c>
      <c r="G145" s="9">
        <v>43197500</v>
      </c>
      <c r="H145" s="1">
        <v>71</v>
      </c>
      <c r="I145" s="1">
        <v>91</v>
      </c>
      <c r="J145" s="5">
        <v>25.8</v>
      </c>
      <c r="K145" s="1" t="s">
        <v>19</v>
      </c>
      <c r="L145" s="1" t="s">
        <v>19</v>
      </c>
      <c r="M145" s="10">
        <f t="shared" si="18"/>
        <v>1674321.7054263565</v>
      </c>
      <c r="N145" s="10">
        <f t="shared" si="19"/>
        <v>608415.49295774649</v>
      </c>
      <c r="O145" s="1">
        <f t="shared" si="20"/>
        <v>24</v>
      </c>
      <c r="P145" s="1">
        <f t="shared" si="21"/>
        <v>22</v>
      </c>
      <c r="Q145" s="1">
        <f t="shared" si="22"/>
        <v>2</v>
      </c>
      <c r="R145" s="6">
        <f t="shared" si="23"/>
        <v>0.43827160493827161</v>
      </c>
      <c r="S145" s="8">
        <f t="shared" si="24"/>
        <v>73.670660070210374</v>
      </c>
      <c r="T145" s="8">
        <f t="shared" si="25"/>
        <v>-2.6706600702103742</v>
      </c>
      <c r="U145" t="str">
        <f t="shared" si="26"/>
        <v>Low</v>
      </c>
    </row>
    <row r="146" spans="1:21">
      <c r="A146" s="1">
        <v>161</v>
      </c>
      <c r="B146" s="2">
        <v>2004</v>
      </c>
      <c r="C146" s="1" t="s">
        <v>36</v>
      </c>
      <c r="D146" s="1" t="s">
        <v>37</v>
      </c>
      <c r="E146" s="1" t="s">
        <v>17</v>
      </c>
      <c r="F146" s="1" t="s">
        <v>32</v>
      </c>
      <c r="G146" s="9">
        <v>43067858</v>
      </c>
      <c r="H146" s="1">
        <v>76</v>
      </c>
      <c r="I146" s="1">
        <v>86</v>
      </c>
      <c r="J146" s="5">
        <v>25.2</v>
      </c>
      <c r="K146" s="1" t="s">
        <v>19</v>
      </c>
      <c r="L146" s="1" t="s">
        <v>19</v>
      </c>
      <c r="M146" s="10">
        <f t="shared" si="18"/>
        <v>1709041.9841269841</v>
      </c>
      <c r="N146" s="10">
        <f t="shared" si="19"/>
        <v>566682.34210526315</v>
      </c>
      <c r="O146" s="1">
        <f t="shared" si="20"/>
        <v>25</v>
      </c>
      <c r="P146" s="1">
        <f t="shared" si="21"/>
        <v>19</v>
      </c>
      <c r="Q146" s="1">
        <f t="shared" si="22"/>
        <v>6</v>
      </c>
      <c r="R146" s="6">
        <f t="shared" si="23"/>
        <v>0.46913580246913578</v>
      </c>
      <c r="S146" s="8">
        <f t="shared" si="24"/>
        <v>73.659341666943021</v>
      </c>
      <c r="T146" s="8">
        <f t="shared" si="25"/>
        <v>2.3406583330569788</v>
      </c>
      <c r="U146" t="str">
        <f t="shared" si="26"/>
        <v>Low</v>
      </c>
    </row>
    <row r="147" spans="1:21">
      <c r="A147" s="1">
        <v>265</v>
      </c>
      <c r="B147" s="2">
        <v>2004</v>
      </c>
      <c r="C147" s="1" t="s">
        <v>44</v>
      </c>
      <c r="D147" s="1" t="s">
        <v>45</v>
      </c>
      <c r="E147" s="1" t="s">
        <v>26</v>
      </c>
      <c r="F147" s="1" t="s">
        <v>46</v>
      </c>
      <c r="G147" s="9">
        <v>42118042</v>
      </c>
      <c r="H147" s="1">
        <v>92</v>
      </c>
      <c r="I147" s="1">
        <v>70</v>
      </c>
      <c r="J147" s="5">
        <v>39.5</v>
      </c>
      <c r="K147" s="1" t="s">
        <v>20</v>
      </c>
      <c r="L147" s="1" t="s">
        <v>19</v>
      </c>
      <c r="M147" s="10">
        <f t="shared" si="18"/>
        <v>1066279.5443037974</v>
      </c>
      <c r="N147" s="10">
        <f t="shared" si="19"/>
        <v>457804.80434782611</v>
      </c>
      <c r="O147" s="1">
        <f t="shared" si="20"/>
        <v>26</v>
      </c>
      <c r="P147" s="1">
        <f t="shared" si="21"/>
        <v>6</v>
      </c>
      <c r="Q147" s="1">
        <f t="shared" si="22"/>
        <v>20</v>
      </c>
      <c r="R147" s="6">
        <f t="shared" si="23"/>
        <v>0.5679012345679012</v>
      </c>
      <c r="S147" s="8">
        <f t="shared" si="24"/>
        <v>73.576417919100621</v>
      </c>
      <c r="T147" s="8">
        <f t="shared" si="25"/>
        <v>18.423582080899379</v>
      </c>
      <c r="U147" t="str">
        <f t="shared" si="26"/>
        <v>Low</v>
      </c>
    </row>
    <row r="148" spans="1:21">
      <c r="A148" s="1">
        <v>187</v>
      </c>
      <c r="B148" s="2">
        <v>2004</v>
      </c>
      <c r="C148" s="1" t="s">
        <v>38</v>
      </c>
      <c r="D148" s="1" t="s">
        <v>39</v>
      </c>
      <c r="E148" s="1" t="s">
        <v>26</v>
      </c>
      <c r="F148" s="1" t="s">
        <v>35</v>
      </c>
      <c r="G148" s="9">
        <v>34569300</v>
      </c>
      <c r="H148" s="1">
        <v>80</v>
      </c>
      <c r="I148" s="1">
        <v>82</v>
      </c>
      <c r="J148" s="5">
        <v>40.4</v>
      </c>
      <c r="K148" s="1" t="s">
        <v>19</v>
      </c>
      <c r="L148" s="1" t="s">
        <v>19</v>
      </c>
      <c r="M148" s="10">
        <f t="shared" si="18"/>
        <v>855675.74257425743</v>
      </c>
      <c r="N148" s="10">
        <f t="shared" si="19"/>
        <v>432116.25</v>
      </c>
      <c r="O148" s="1">
        <f t="shared" si="20"/>
        <v>27</v>
      </c>
      <c r="P148" s="1">
        <f t="shared" si="21"/>
        <v>17</v>
      </c>
      <c r="Q148" s="1">
        <f t="shared" si="22"/>
        <v>10</v>
      </c>
      <c r="R148" s="6">
        <f t="shared" si="23"/>
        <v>0.49382716049382713</v>
      </c>
      <c r="S148" s="8">
        <f t="shared" si="24"/>
        <v>72.917374506339343</v>
      </c>
      <c r="T148" s="8">
        <f t="shared" si="25"/>
        <v>7.0826254936606574</v>
      </c>
      <c r="U148" t="str">
        <f t="shared" si="26"/>
        <v>Low</v>
      </c>
    </row>
    <row r="149" spans="1:21">
      <c r="A149" s="1">
        <v>577</v>
      </c>
      <c r="B149" s="2">
        <v>2004</v>
      </c>
      <c r="C149" s="1" t="s">
        <v>69</v>
      </c>
      <c r="D149" s="1" t="s">
        <v>70</v>
      </c>
      <c r="E149" s="1" t="s">
        <v>17</v>
      </c>
      <c r="F149" s="1" t="s">
        <v>18</v>
      </c>
      <c r="G149" s="9">
        <v>32227929</v>
      </c>
      <c r="H149" s="1">
        <v>87</v>
      </c>
      <c r="I149" s="1">
        <v>75</v>
      </c>
      <c r="J149" s="5">
        <v>27.4</v>
      </c>
      <c r="K149" s="1" t="s">
        <v>19</v>
      </c>
      <c r="L149" s="1" t="s">
        <v>19</v>
      </c>
      <c r="M149" s="10">
        <f t="shared" si="18"/>
        <v>1176201.7883211679</v>
      </c>
      <c r="N149" s="10">
        <f t="shared" si="19"/>
        <v>370435.96551724139</v>
      </c>
      <c r="O149" s="1">
        <f t="shared" si="20"/>
        <v>28</v>
      </c>
      <c r="P149" s="1">
        <f t="shared" si="21"/>
        <v>13</v>
      </c>
      <c r="Q149" s="1">
        <f t="shared" si="22"/>
        <v>15</v>
      </c>
      <c r="R149" s="6">
        <f t="shared" si="23"/>
        <v>0.53703703703703709</v>
      </c>
      <c r="S149" s="8">
        <f t="shared" si="24"/>
        <v>72.712960958442181</v>
      </c>
      <c r="T149" s="8">
        <f t="shared" si="25"/>
        <v>14.287039041557819</v>
      </c>
      <c r="U149" t="str">
        <f t="shared" si="26"/>
        <v>Low</v>
      </c>
    </row>
    <row r="150" spans="1:21">
      <c r="A150" s="1">
        <v>707</v>
      </c>
      <c r="B150" s="2">
        <v>2004</v>
      </c>
      <c r="C150" s="1" t="s">
        <v>79</v>
      </c>
      <c r="D150" s="1" t="s">
        <v>80</v>
      </c>
      <c r="E150" s="1" t="s">
        <v>26</v>
      </c>
      <c r="F150" s="1" t="s">
        <v>46</v>
      </c>
      <c r="G150" s="9">
        <v>29506667</v>
      </c>
      <c r="H150" s="1">
        <v>89</v>
      </c>
      <c r="I150" s="1">
        <v>73</v>
      </c>
      <c r="J150" s="5">
        <v>24.2</v>
      </c>
      <c r="K150" s="1" t="s">
        <v>19</v>
      </c>
      <c r="L150" s="1" t="s">
        <v>19</v>
      </c>
      <c r="M150" s="10">
        <f t="shared" si="18"/>
        <v>1219283.7603305785</v>
      </c>
      <c r="N150" s="10">
        <f t="shared" si="19"/>
        <v>331535.58426966291</v>
      </c>
      <c r="O150" s="1">
        <f t="shared" si="20"/>
        <v>29</v>
      </c>
      <c r="P150" s="1">
        <f t="shared" si="21"/>
        <v>11</v>
      </c>
      <c r="Q150" s="1">
        <f t="shared" si="22"/>
        <v>18</v>
      </c>
      <c r="R150" s="6">
        <f t="shared" si="23"/>
        <v>0.54938271604938271</v>
      </c>
      <c r="S150" s="8">
        <f t="shared" si="24"/>
        <v>72.475381002007367</v>
      </c>
      <c r="T150" s="8">
        <f t="shared" si="25"/>
        <v>16.524618997992633</v>
      </c>
      <c r="U150" t="str">
        <f t="shared" si="26"/>
        <v>Low</v>
      </c>
    </row>
    <row r="151" spans="1:21">
      <c r="A151" s="1">
        <v>395</v>
      </c>
      <c r="B151" s="2">
        <v>2004</v>
      </c>
      <c r="C151" s="1" t="s">
        <v>55</v>
      </c>
      <c r="D151" s="1" t="s">
        <v>56</v>
      </c>
      <c r="E151" s="1" t="s">
        <v>17</v>
      </c>
      <c r="F151" s="1" t="s">
        <v>32</v>
      </c>
      <c r="G151" s="9">
        <v>27518500</v>
      </c>
      <c r="H151" s="1">
        <v>67</v>
      </c>
      <c r="I151" s="1">
        <v>94</v>
      </c>
      <c r="J151" s="5">
        <v>26.7</v>
      </c>
      <c r="K151" s="1" t="s">
        <v>19</v>
      </c>
      <c r="L151" s="1" t="s">
        <v>19</v>
      </c>
      <c r="M151" s="10">
        <f t="shared" si="18"/>
        <v>1030655.4307116105</v>
      </c>
      <c r="N151" s="10">
        <f t="shared" si="19"/>
        <v>410723.88059701491</v>
      </c>
      <c r="O151" s="1">
        <f t="shared" si="20"/>
        <v>30</v>
      </c>
      <c r="P151" s="1">
        <f t="shared" si="21"/>
        <v>25</v>
      </c>
      <c r="Q151" s="1">
        <f t="shared" si="22"/>
        <v>5</v>
      </c>
      <c r="R151" s="6">
        <f t="shared" si="23"/>
        <v>0.41614906832298137</v>
      </c>
      <c r="S151" s="8">
        <f t="shared" si="24"/>
        <v>72.301803952371898</v>
      </c>
      <c r="T151" s="8">
        <f t="shared" si="25"/>
        <v>-5.3018039523718983</v>
      </c>
      <c r="U151" t="str">
        <f t="shared" si="26"/>
        <v>Low</v>
      </c>
    </row>
    <row r="152" spans="1:21">
      <c r="A152" s="1">
        <v>474</v>
      </c>
      <c r="B152" s="2">
        <v>2005</v>
      </c>
      <c r="C152" s="1" t="s">
        <v>61</v>
      </c>
      <c r="D152" s="1" t="s">
        <v>62</v>
      </c>
      <c r="E152" s="1" t="s">
        <v>26</v>
      </c>
      <c r="F152" s="1" t="s">
        <v>27</v>
      </c>
      <c r="G152" s="9">
        <v>208306817</v>
      </c>
      <c r="H152" s="1">
        <v>95</v>
      </c>
      <c r="I152" s="1">
        <v>67</v>
      </c>
      <c r="J152" s="5">
        <v>46.8</v>
      </c>
      <c r="K152" s="1" t="s">
        <v>20</v>
      </c>
      <c r="L152" s="1" t="s">
        <v>19</v>
      </c>
      <c r="M152" s="10">
        <f t="shared" si="18"/>
        <v>4451000.3632478639</v>
      </c>
      <c r="N152" s="10">
        <f t="shared" si="19"/>
        <v>2192703.3368421053</v>
      </c>
      <c r="O152" s="1">
        <f t="shared" si="20"/>
        <v>1</v>
      </c>
      <c r="P152" s="1">
        <f t="shared" si="21"/>
        <v>3</v>
      </c>
      <c r="Q152" s="1">
        <f t="shared" si="22"/>
        <v>-2</v>
      </c>
      <c r="R152" s="6">
        <f t="shared" si="23"/>
        <v>0.5864197530864198</v>
      </c>
      <c r="S152" s="8">
        <f t="shared" si="24"/>
        <v>88.085539762000764</v>
      </c>
      <c r="T152" s="8">
        <f t="shared" si="25"/>
        <v>6.9144602379992364</v>
      </c>
      <c r="U152" t="str">
        <f t="shared" si="26"/>
        <v>High</v>
      </c>
    </row>
    <row r="153" spans="1:21">
      <c r="A153" s="1">
        <v>84</v>
      </c>
      <c r="B153" s="2">
        <v>2005</v>
      </c>
      <c r="C153" s="1" t="s">
        <v>28</v>
      </c>
      <c r="D153" s="1" t="s">
        <v>29</v>
      </c>
      <c r="E153" s="1" t="s">
        <v>26</v>
      </c>
      <c r="F153" s="1" t="s">
        <v>27</v>
      </c>
      <c r="G153" s="9">
        <v>121311945</v>
      </c>
      <c r="H153" s="1">
        <v>95</v>
      </c>
      <c r="I153" s="1">
        <v>67</v>
      </c>
      <c r="J153" s="5">
        <v>48.2</v>
      </c>
      <c r="K153" s="1" t="s">
        <v>20</v>
      </c>
      <c r="L153" s="1" t="s">
        <v>19</v>
      </c>
      <c r="M153" s="10">
        <f t="shared" si="18"/>
        <v>2516845.3319502072</v>
      </c>
      <c r="N153" s="10">
        <f t="shared" si="19"/>
        <v>1276967.8421052631</v>
      </c>
      <c r="O153" s="1">
        <f t="shared" si="20"/>
        <v>2</v>
      </c>
      <c r="P153" s="1">
        <f t="shared" si="21"/>
        <v>3</v>
      </c>
      <c r="Q153" s="1">
        <f t="shared" si="22"/>
        <v>-1</v>
      </c>
      <c r="R153" s="6">
        <f t="shared" si="23"/>
        <v>0.5864197530864198</v>
      </c>
      <c r="S153" s="8">
        <f t="shared" si="24"/>
        <v>80.490446786825387</v>
      </c>
      <c r="T153" s="8">
        <f t="shared" si="25"/>
        <v>14.509553213174613</v>
      </c>
      <c r="U153" t="str">
        <f t="shared" si="26"/>
        <v>Mid</v>
      </c>
    </row>
    <row r="154" spans="1:21">
      <c r="A154" s="1">
        <v>448</v>
      </c>
      <c r="B154" s="2">
        <v>2005</v>
      </c>
      <c r="C154" s="1" t="s">
        <v>59</v>
      </c>
      <c r="D154" s="1" t="s">
        <v>60</v>
      </c>
      <c r="E154" s="1" t="s">
        <v>17</v>
      </c>
      <c r="F154" s="1" t="s">
        <v>23</v>
      </c>
      <c r="G154" s="9">
        <v>101305821</v>
      </c>
      <c r="H154" s="1">
        <v>83</v>
      </c>
      <c r="I154" s="1">
        <v>79</v>
      </c>
      <c r="J154" s="5">
        <v>39.700000000000003</v>
      </c>
      <c r="K154" s="1" t="s">
        <v>19</v>
      </c>
      <c r="L154" s="1" t="s">
        <v>19</v>
      </c>
      <c r="M154" s="10">
        <f t="shared" si="18"/>
        <v>2551783.9042821159</v>
      </c>
      <c r="N154" s="10">
        <f t="shared" si="19"/>
        <v>1220552.0602409639</v>
      </c>
      <c r="O154" s="1">
        <f t="shared" si="20"/>
        <v>3</v>
      </c>
      <c r="P154" s="1">
        <f t="shared" si="21"/>
        <v>11</v>
      </c>
      <c r="Q154" s="1">
        <f t="shared" si="22"/>
        <v>-8</v>
      </c>
      <c r="R154" s="6">
        <f t="shared" si="23"/>
        <v>0.51234567901234573</v>
      </c>
      <c r="S154" s="8">
        <f t="shared" si="24"/>
        <v>78.743810825881766</v>
      </c>
      <c r="T154" s="8">
        <f t="shared" si="25"/>
        <v>4.2561891741182336</v>
      </c>
      <c r="U154" t="str">
        <f t="shared" si="26"/>
        <v>Mid</v>
      </c>
    </row>
    <row r="155" spans="1:21">
      <c r="A155" s="1">
        <v>526</v>
      </c>
      <c r="B155" s="2">
        <v>2005</v>
      </c>
      <c r="C155" s="1" t="s">
        <v>65</v>
      </c>
      <c r="D155" s="1" t="s">
        <v>66</v>
      </c>
      <c r="E155" s="1" t="s">
        <v>17</v>
      </c>
      <c r="F155" s="1" t="s">
        <v>23</v>
      </c>
      <c r="G155" s="9">
        <v>95522000</v>
      </c>
      <c r="H155" s="1">
        <v>88</v>
      </c>
      <c r="I155" s="1">
        <v>74</v>
      </c>
      <c r="J155" s="5">
        <v>45.6</v>
      </c>
      <c r="K155" s="1" t="s">
        <v>19</v>
      </c>
      <c r="L155" s="1" t="s">
        <v>19</v>
      </c>
      <c r="M155" s="10">
        <f t="shared" si="18"/>
        <v>2094780.7017543858</v>
      </c>
      <c r="N155" s="10">
        <f t="shared" si="19"/>
        <v>1085477.2727272727</v>
      </c>
      <c r="O155" s="1">
        <f t="shared" si="20"/>
        <v>4</v>
      </c>
      <c r="P155" s="1">
        <f t="shared" si="21"/>
        <v>9</v>
      </c>
      <c r="Q155" s="1">
        <f t="shared" si="22"/>
        <v>-5</v>
      </c>
      <c r="R155" s="6">
        <f t="shared" si="23"/>
        <v>0.54320987654320985</v>
      </c>
      <c r="S155" s="8">
        <f t="shared" si="24"/>
        <v>78.238853956162217</v>
      </c>
      <c r="T155" s="8">
        <f t="shared" si="25"/>
        <v>9.7611460438377833</v>
      </c>
      <c r="U155" t="str">
        <f t="shared" si="26"/>
        <v>Mid</v>
      </c>
    </row>
    <row r="156" spans="1:21">
      <c r="A156" s="1">
        <v>318</v>
      </c>
      <c r="B156" s="2">
        <v>2005</v>
      </c>
      <c r="C156" s="1" t="s">
        <v>49</v>
      </c>
      <c r="D156" s="1" t="s">
        <v>50</v>
      </c>
      <c r="E156" s="1" t="s">
        <v>26</v>
      </c>
      <c r="F156" s="1" t="s">
        <v>46</v>
      </c>
      <c r="G156" s="9">
        <v>95017822</v>
      </c>
      <c r="H156" s="1">
        <v>95</v>
      </c>
      <c r="I156" s="1">
        <v>67</v>
      </c>
      <c r="J156" s="5">
        <v>12.4</v>
      </c>
      <c r="K156" s="1" t="s">
        <v>20</v>
      </c>
      <c r="L156" s="1" t="s">
        <v>19</v>
      </c>
      <c r="M156" s="10">
        <f t="shared" si="18"/>
        <v>7662727.5806451607</v>
      </c>
      <c r="N156" s="10">
        <f t="shared" si="19"/>
        <v>1000187.6</v>
      </c>
      <c r="O156" s="1">
        <f t="shared" si="20"/>
        <v>5</v>
      </c>
      <c r="P156" s="1">
        <f t="shared" si="21"/>
        <v>3</v>
      </c>
      <c r="Q156" s="1">
        <f t="shared" si="22"/>
        <v>2</v>
      </c>
      <c r="R156" s="6">
        <f t="shared" si="23"/>
        <v>0.5864197530864198</v>
      </c>
      <c r="S156" s="8">
        <f t="shared" si="24"/>
        <v>78.194836662981558</v>
      </c>
      <c r="T156" s="8">
        <f t="shared" si="25"/>
        <v>16.805163337018442</v>
      </c>
      <c r="U156" t="str">
        <f t="shared" si="26"/>
        <v>Mid</v>
      </c>
    </row>
    <row r="157" spans="1:21">
      <c r="A157" s="1">
        <v>656</v>
      </c>
      <c r="B157" s="2">
        <v>2005</v>
      </c>
      <c r="C157" s="1" t="s">
        <v>75</v>
      </c>
      <c r="D157" s="1" t="s">
        <v>76</v>
      </c>
      <c r="E157" s="1" t="s">
        <v>17</v>
      </c>
      <c r="F157" s="1" t="s">
        <v>32</v>
      </c>
      <c r="G157" s="9">
        <v>92106833</v>
      </c>
      <c r="H157" s="1">
        <v>100</v>
      </c>
      <c r="I157" s="1">
        <v>62</v>
      </c>
      <c r="J157" s="5">
        <v>54.8</v>
      </c>
      <c r="K157" s="1" t="s">
        <v>20</v>
      </c>
      <c r="L157" s="1" t="s">
        <v>19</v>
      </c>
      <c r="M157" s="10">
        <f t="shared" si="18"/>
        <v>1680781.6240875914</v>
      </c>
      <c r="N157" s="10">
        <f t="shared" si="19"/>
        <v>921068.33</v>
      </c>
      <c r="O157" s="1">
        <f t="shared" si="20"/>
        <v>6</v>
      </c>
      <c r="P157" s="1">
        <f t="shared" si="21"/>
        <v>1</v>
      </c>
      <c r="Q157" s="1">
        <f t="shared" si="22"/>
        <v>5</v>
      </c>
      <c r="R157" s="6">
        <f t="shared" si="23"/>
        <v>0.61728395061728392</v>
      </c>
      <c r="S157" s="8">
        <f t="shared" si="24"/>
        <v>77.940692578434692</v>
      </c>
      <c r="T157" s="8">
        <f t="shared" si="25"/>
        <v>22.059307421565308</v>
      </c>
      <c r="U157" t="str">
        <f t="shared" si="26"/>
        <v>Mid</v>
      </c>
    </row>
    <row r="158" spans="1:21">
      <c r="A158" s="1">
        <v>604</v>
      </c>
      <c r="B158" s="2">
        <v>2005</v>
      </c>
      <c r="C158" s="1" t="s">
        <v>71</v>
      </c>
      <c r="D158" s="1" t="s">
        <v>72</v>
      </c>
      <c r="E158" s="1" t="s">
        <v>17</v>
      </c>
      <c r="F158" s="1" t="s">
        <v>18</v>
      </c>
      <c r="G158" s="9">
        <v>90199500</v>
      </c>
      <c r="H158" s="1">
        <v>75</v>
      </c>
      <c r="I158" s="1">
        <v>87</v>
      </c>
      <c r="J158" s="5">
        <v>28.9</v>
      </c>
      <c r="K158" s="1" t="s">
        <v>19</v>
      </c>
      <c r="L158" s="1" t="s">
        <v>19</v>
      </c>
      <c r="M158" s="10">
        <f t="shared" si="18"/>
        <v>3121089.9653979242</v>
      </c>
      <c r="N158" s="10">
        <f t="shared" si="19"/>
        <v>1202660</v>
      </c>
      <c r="O158" s="1">
        <f t="shared" si="20"/>
        <v>7</v>
      </c>
      <c r="P158" s="1">
        <f t="shared" si="21"/>
        <v>21</v>
      </c>
      <c r="Q158" s="1">
        <f t="shared" si="22"/>
        <v>-14</v>
      </c>
      <c r="R158" s="6">
        <f t="shared" si="23"/>
        <v>0.46296296296296297</v>
      </c>
      <c r="S158" s="8">
        <f t="shared" si="24"/>
        <v>77.774172746442517</v>
      </c>
      <c r="T158" s="8">
        <f t="shared" si="25"/>
        <v>-2.7741727464425168</v>
      </c>
      <c r="U158" t="str">
        <f t="shared" si="26"/>
        <v>Mid</v>
      </c>
    </row>
    <row r="159" spans="1:21">
      <c r="A159" s="1">
        <v>630</v>
      </c>
      <c r="B159" s="2">
        <v>2005</v>
      </c>
      <c r="C159" s="1" t="s">
        <v>73</v>
      </c>
      <c r="D159" s="1" t="s">
        <v>74</v>
      </c>
      <c r="E159" s="1" t="s">
        <v>26</v>
      </c>
      <c r="F159" s="1" t="s">
        <v>46</v>
      </c>
      <c r="G159" s="9">
        <v>87754334</v>
      </c>
      <c r="H159" s="1">
        <v>69</v>
      </c>
      <c r="I159" s="1">
        <v>93</v>
      </c>
      <c r="J159" s="5">
        <v>25.2</v>
      </c>
      <c r="K159" s="1" t="s">
        <v>19</v>
      </c>
      <c r="L159" s="1" t="s">
        <v>19</v>
      </c>
      <c r="M159" s="10">
        <f t="shared" si="18"/>
        <v>3482314.8412698414</v>
      </c>
      <c r="N159" s="10">
        <f t="shared" si="19"/>
        <v>1271801.9420289856</v>
      </c>
      <c r="O159" s="1">
        <f t="shared" si="20"/>
        <v>8</v>
      </c>
      <c r="P159" s="1">
        <f t="shared" si="21"/>
        <v>26</v>
      </c>
      <c r="Q159" s="1">
        <f t="shared" si="22"/>
        <v>-18</v>
      </c>
      <c r="R159" s="6">
        <f t="shared" si="23"/>
        <v>0.42592592592592593</v>
      </c>
      <c r="S159" s="8">
        <f t="shared" si="24"/>
        <v>77.560697369299163</v>
      </c>
      <c r="T159" s="8">
        <f t="shared" si="25"/>
        <v>-8.560697369299163</v>
      </c>
      <c r="U159" t="str">
        <f t="shared" si="26"/>
        <v>Mid</v>
      </c>
    </row>
    <row r="160" spans="1:21">
      <c r="A160" s="1">
        <v>110</v>
      </c>
      <c r="B160" s="2">
        <v>2005</v>
      </c>
      <c r="C160" s="1" t="s">
        <v>30</v>
      </c>
      <c r="D160" s="1" t="s">
        <v>31</v>
      </c>
      <c r="E160" s="1" t="s">
        <v>17</v>
      </c>
      <c r="F160" s="1" t="s">
        <v>32</v>
      </c>
      <c r="G160" s="9">
        <v>87032933</v>
      </c>
      <c r="H160" s="1">
        <v>79</v>
      </c>
      <c r="I160" s="1">
        <v>83</v>
      </c>
      <c r="J160" s="5">
        <v>34.700000000000003</v>
      </c>
      <c r="K160" s="1" t="s">
        <v>19</v>
      </c>
      <c r="L160" s="1" t="s">
        <v>19</v>
      </c>
      <c r="M160" s="10">
        <f t="shared" si="18"/>
        <v>2508153.6887608068</v>
      </c>
      <c r="N160" s="10">
        <f t="shared" si="19"/>
        <v>1101682.6962025317</v>
      </c>
      <c r="O160" s="1">
        <f t="shared" si="20"/>
        <v>9</v>
      </c>
      <c r="P160" s="1">
        <f t="shared" si="21"/>
        <v>18</v>
      </c>
      <c r="Q160" s="1">
        <f t="shared" si="22"/>
        <v>-9</v>
      </c>
      <c r="R160" s="6">
        <f t="shared" si="23"/>
        <v>0.48765432098765432</v>
      </c>
      <c r="S160" s="8">
        <f t="shared" si="24"/>
        <v>77.497715407932702</v>
      </c>
      <c r="T160" s="8">
        <f t="shared" si="25"/>
        <v>1.5022845920672978</v>
      </c>
      <c r="U160" t="str">
        <f t="shared" si="26"/>
        <v>Mid</v>
      </c>
    </row>
    <row r="161" spans="1:21">
      <c r="A161" s="1">
        <v>32</v>
      </c>
      <c r="B161" s="2">
        <v>2005</v>
      </c>
      <c r="C161" s="1" t="s">
        <v>21</v>
      </c>
      <c r="D161" s="1" t="s">
        <v>22</v>
      </c>
      <c r="E161" s="1" t="s">
        <v>17</v>
      </c>
      <c r="F161" s="1" t="s">
        <v>23</v>
      </c>
      <c r="G161" s="9">
        <v>86457302</v>
      </c>
      <c r="H161" s="1">
        <v>90</v>
      </c>
      <c r="I161" s="1">
        <v>72</v>
      </c>
      <c r="J161" s="5">
        <v>47.4</v>
      </c>
      <c r="K161" s="1" t="s">
        <v>20</v>
      </c>
      <c r="L161" s="1" t="s">
        <v>19</v>
      </c>
      <c r="M161" s="10">
        <f t="shared" si="18"/>
        <v>1823993.7130801689</v>
      </c>
      <c r="N161" s="10">
        <f t="shared" si="19"/>
        <v>960636.68888888892</v>
      </c>
      <c r="O161" s="1">
        <f t="shared" si="20"/>
        <v>10</v>
      </c>
      <c r="P161" s="1">
        <f t="shared" si="21"/>
        <v>7</v>
      </c>
      <c r="Q161" s="1">
        <f t="shared" si="22"/>
        <v>3</v>
      </c>
      <c r="R161" s="6">
        <f t="shared" si="23"/>
        <v>0.55555555555555558</v>
      </c>
      <c r="S161" s="8">
        <f t="shared" si="24"/>
        <v>77.447459905925712</v>
      </c>
      <c r="T161" s="8">
        <f t="shared" si="25"/>
        <v>12.552540094074288</v>
      </c>
      <c r="U161" t="str">
        <f t="shared" si="26"/>
        <v>Mid</v>
      </c>
    </row>
    <row r="162" spans="1:21">
      <c r="A162" s="1">
        <v>344</v>
      </c>
      <c r="B162" s="2">
        <v>2005</v>
      </c>
      <c r="C162" s="1" t="s">
        <v>51</v>
      </c>
      <c r="D162" s="1" t="s">
        <v>52</v>
      </c>
      <c r="E162" s="1" t="s">
        <v>17</v>
      </c>
      <c r="F162" s="1" t="s">
        <v>18</v>
      </c>
      <c r="G162" s="9">
        <v>83039000</v>
      </c>
      <c r="H162" s="1">
        <v>71</v>
      </c>
      <c r="I162" s="1">
        <v>91</v>
      </c>
      <c r="J162" s="5">
        <v>44.1</v>
      </c>
      <c r="K162" s="1" t="s">
        <v>19</v>
      </c>
      <c r="L162" s="1" t="s">
        <v>19</v>
      </c>
      <c r="M162" s="10">
        <f t="shared" si="18"/>
        <v>1882970.5215419501</v>
      </c>
      <c r="N162" s="10">
        <f t="shared" si="19"/>
        <v>1169563.38028169</v>
      </c>
      <c r="O162" s="1">
        <f t="shared" si="20"/>
        <v>11</v>
      </c>
      <c r="P162" s="1">
        <f t="shared" si="21"/>
        <v>24</v>
      </c>
      <c r="Q162" s="1">
        <f t="shared" si="22"/>
        <v>-13</v>
      </c>
      <c r="R162" s="6">
        <f t="shared" si="23"/>
        <v>0.43827160493827161</v>
      </c>
      <c r="S162" s="8">
        <f t="shared" si="24"/>
        <v>77.14902482681866</v>
      </c>
      <c r="T162" s="8">
        <f t="shared" si="25"/>
        <v>-6.1490248268186605</v>
      </c>
      <c r="U162" t="str">
        <f t="shared" si="26"/>
        <v>Mid</v>
      </c>
    </row>
    <row r="163" spans="1:21">
      <c r="A163" s="1">
        <v>266</v>
      </c>
      <c r="B163" s="2">
        <v>2005</v>
      </c>
      <c r="C163" s="1" t="s">
        <v>44</v>
      </c>
      <c r="D163" s="1" t="s">
        <v>45</v>
      </c>
      <c r="E163" s="1" t="s">
        <v>26</v>
      </c>
      <c r="F163" s="1" t="s">
        <v>46</v>
      </c>
      <c r="G163" s="9">
        <v>76779000</v>
      </c>
      <c r="H163" s="1">
        <v>89</v>
      </c>
      <c r="I163" s="1">
        <v>73</v>
      </c>
      <c r="J163" s="5">
        <v>41.7</v>
      </c>
      <c r="K163" s="1" t="s">
        <v>20</v>
      </c>
      <c r="L163" s="1" t="s">
        <v>19</v>
      </c>
      <c r="M163" s="10">
        <f t="shared" si="18"/>
        <v>1841223.0215827336</v>
      </c>
      <c r="N163" s="10">
        <f t="shared" si="19"/>
        <v>862685.39325842692</v>
      </c>
      <c r="O163" s="1">
        <f t="shared" si="20"/>
        <v>12</v>
      </c>
      <c r="P163" s="1">
        <f t="shared" si="21"/>
        <v>8</v>
      </c>
      <c r="Q163" s="1">
        <f t="shared" si="22"/>
        <v>4</v>
      </c>
      <c r="R163" s="6">
        <f t="shared" si="23"/>
        <v>0.54938271604938271</v>
      </c>
      <c r="S163" s="8">
        <f t="shared" si="24"/>
        <v>76.602495118440018</v>
      </c>
      <c r="T163" s="8">
        <f t="shared" si="25"/>
        <v>12.397504881559982</v>
      </c>
      <c r="U163" t="str">
        <f t="shared" si="26"/>
        <v>Low</v>
      </c>
    </row>
    <row r="164" spans="1:21">
      <c r="A164" s="1">
        <v>136</v>
      </c>
      <c r="B164" s="2">
        <v>2005</v>
      </c>
      <c r="C164" s="1" t="s">
        <v>33</v>
      </c>
      <c r="D164" s="1" t="s">
        <v>34</v>
      </c>
      <c r="E164" s="1" t="s">
        <v>26</v>
      </c>
      <c r="F164" s="1" t="s">
        <v>35</v>
      </c>
      <c r="G164" s="9">
        <v>75178000</v>
      </c>
      <c r="H164" s="1">
        <v>99</v>
      </c>
      <c r="I164" s="1">
        <v>63</v>
      </c>
      <c r="J164" s="5">
        <v>53.5</v>
      </c>
      <c r="K164" s="1" t="s">
        <v>20</v>
      </c>
      <c r="L164" s="1" t="s">
        <v>20</v>
      </c>
      <c r="M164" s="10">
        <f t="shared" si="18"/>
        <v>1405196.2616822431</v>
      </c>
      <c r="N164" s="10">
        <f t="shared" si="19"/>
        <v>759373.73737373739</v>
      </c>
      <c r="O164" s="1">
        <f t="shared" si="20"/>
        <v>13</v>
      </c>
      <c r="P164" s="1">
        <f t="shared" si="21"/>
        <v>2</v>
      </c>
      <c r="Q164" s="1">
        <f t="shared" si="22"/>
        <v>11</v>
      </c>
      <c r="R164" s="6">
        <f t="shared" si="23"/>
        <v>0.61111111111111116</v>
      </c>
      <c r="S164" s="8">
        <f t="shared" si="24"/>
        <v>76.462719708996858</v>
      </c>
      <c r="T164" s="8">
        <f t="shared" si="25"/>
        <v>22.537280291003142</v>
      </c>
      <c r="U164" t="str">
        <f t="shared" si="26"/>
        <v>Low</v>
      </c>
    </row>
    <row r="165" spans="1:21">
      <c r="A165" s="1">
        <v>58</v>
      </c>
      <c r="B165" s="2">
        <v>2005</v>
      </c>
      <c r="C165" s="1" t="s">
        <v>24</v>
      </c>
      <c r="D165" s="1" t="s">
        <v>25</v>
      </c>
      <c r="E165" s="1" t="s">
        <v>26</v>
      </c>
      <c r="F165" s="1" t="s">
        <v>27</v>
      </c>
      <c r="G165" s="9">
        <v>73914333</v>
      </c>
      <c r="H165" s="1">
        <v>74</v>
      </c>
      <c r="I165" s="1">
        <v>88</v>
      </c>
      <c r="J165" s="5">
        <v>29.1</v>
      </c>
      <c r="K165" s="1" t="s">
        <v>19</v>
      </c>
      <c r="L165" s="1" t="s">
        <v>19</v>
      </c>
      <c r="M165" s="10">
        <f t="shared" si="18"/>
        <v>2540011.443298969</v>
      </c>
      <c r="N165" s="10">
        <f t="shared" si="19"/>
        <v>998842.33783783787</v>
      </c>
      <c r="O165" s="1">
        <f t="shared" si="20"/>
        <v>14</v>
      </c>
      <c r="P165" s="1">
        <f t="shared" si="21"/>
        <v>22</v>
      </c>
      <c r="Q165" s="1">
        <f t="shared" si="22"/>
        <v>-8</v>
      </c>
      <c r="R165" s="6">
        <f t="shared" si="23"/>
        <v>0.4567901234567901</v>
      </c>
      <c r="S165" s="8">
        <f t="shared" si="24"/>
        <v>76.352395179125011</v>
      </c>
      <c r="T165" s="8">
        <f t="shared" si="25"/>
        <v>-2.3523951791250113</v>
      </c>
      <c r="U165" t="str">
        <f t="shared" si="26"/>
        <v>Low</v>
      </c>
    </row>
    <row r="166" spans="1:21">
      <c r="A166" s="1">
        <v>240</v>
      </c>
      <c r="B166" s="2">
        <v>2005</v>
      </c>
      <c r="C166" s="1" t="s">
        <v>42</v>
      </c>
      <c r="D166" s="1" t="s">
        <v>43</v>
      </c>
      <c r="E166" s="1" t="s">
        <v>26</v>
      </c>
      <c r="F166" s="1" t="s">
        <v>35</v>
      </c>
      <c r="G166" s="9">
        <v>69092000</v>
      </c>
      <c r="H166" s="1">
        <v>71</v>
      </c>
      <c r="I166" s="1">
        <v>91</v>
      </c>
      <c r="J166" s="5">
        <v>28.4</v>
      </c>
      <c r="K166" s="1" t="s">
        <v>19</v>
      </c>
      <c r="L166" s="1" t="s">
        <v>19</v>
      </c>
      <c r="M166" s="10">
        <f t="shared" si="18"/>
        <v>2432816.9014084507</v>
      </c>
      <c r="N166" s="10">
        <f t="shared" si="19"/>
        <v>973126.76056338032</v>
      </c>
      <c r="O166" s="1">
        <f t="shared" si="20"/>
        <v>15</v>
      </c>
      <c r="P166" s="1">
        <f t="shared" si="21"/>
        <v>24</v>
      </c>
      <c r="Q166" s="1">
        <f t="shared" si="22"/>
        <v>-9</v>
      </c>
      <c r="R166" s="6">
        <f t="shared" si="23"/>
        <v>0.43827160493827161</v>
      </c>
      <c r="S166" s="8">
        <f t="shared" si="24"/>
        <v>75.931381081969306</v>
      </c>
      <c r="T166" s="8">
        <f t="shared" si="25"/>
        <v>-4.931381081969306</v>
      </c>
      <c r="U166" t="str">
        <f t="shared" si="26"/>
        <v>Low</v>
      </c>
    </row>
    <row r="167" spans="1:21">
      <c r="A167" s="1">
        <v>578</v>
      </c>
      <c r="B167" s="2">
        <v>2005</v>
      </c>
      <c r="C167" s="1" t="s">
        <v>69</v>
      </c>
      <c r="D167" s="1" t="s">
        <v>70</v>
      </c>
      <c r="E167" s="1" t="s">
        <v>17</v>
      </c>
      <c r="F167" s="1" t="s">
        <v>18</v>
      </c>
      <c r="G167" s="9">
        <v>63290833</v>
      </c>
      <c r="H167" s="1">
        <v>82</v>
      </c>
      <c r="I167" s="1">
        <v>80</v>
      </c>
      <c r="J167" s="5">
        <v>26.7</v>
      </c>
      <c r="K167" s="1" t="s">
        <v>20</v>
      </c>
      <c r="L167" s="1" t="s">
        <v>19</v>
      </c>
      <c r="M167" s="10">
        <f t="shared" si="18"/>
        <v>2370443.1835205993</v>
      </c>
      <c r="N167" s="10">
        <f t="shared" si="19"/>
        <v>771839.42682926834</v>
      </c>
      <c r="O167" s="1">
        <f t="shared" si="20"/>
        <v>16</v>
      </c>
      <c r="P167" s="1">
        <f t="shared" si="21"/>
        <v>14</v>
      </c>
      <c r="Q167" s="1">
        <f t="shared" si="22"/>
        <v>2</v>
      </c>
      <c r="R167" s="6">
        <f t="shared" si="23"/>
        <v>0.50617283950617287</v>
      </c>
      <c r="S167" s="8">
        <f t="shared" si="24"/>
        <v>75.424909818588176</v>
      </c>
      <c r="T167" s="8">
        <f t="shared" si="25"/>
        <v>6.5750901814118237</v>
      </c>
      <c r="U167" t="str">
        <f t="shared" si="26"/>
        <v>Low</v>
      </c>
    </row>
    <row r="168" spans="1:21">
      <c r="A168" s="1">
        <v>6</v>
      </c>
      <c r="B168" s="2">
        <v>2005</v>
      </c>
      <c r="C168" s="1" t="s">
        <v>15</v>
      </c>
      <c r="D168" s="1" t="s">
        <v>16</v>
      </c>
      <c r="E168" s="1" t="s">
        <v>17</v>
      </c>
      <c r="F168" s="1" t="s">
        <v>18</v>
      </c>
      <c r="G168" s="9">
        <v>62329166</v>
      </c>
      <c r="H168" s="1">
        <v>77</v>
      </c>
      <c r="I168" s="1">
        <v>85</v>
      </c>
      <c r="J168" s="5">
        <v>32.799999999999997</v>
      </c>
      <c r="K168" s="1" t="s">
        <v>19</v>
      </c>
      <c r="L168" s="1" t="s">
        <v>19</v>
      </c>
      <c r="M168" s="10">
        <f t="shared" si="18"/>
        <v>1900279.4512195124</v>
      </c>
      <c r="N168" s="10">
        <f t="shared" si="19"/>
        <v>809469.68831168837</v>
      </c>
      <c r="O168" s="1">
        <f t="shared" si="20"/>
        <v>17</v>
      </c>
      <c r="P168" s="1">
        <f t="shared" si="21"/>
        <v>20</v>
      </c>
      <c r="Q168" s="1">
        <f t="shared" si="22"/>
        <v>-3</v>
      </c>
      <c r="R168" s="6">
        <f t="shared" si="23"/>
        <v>0.47530864197530864</v>
      </c>
      <c r="S168" s="8">
        <f t="shared" si="24"/>
        <v>75.340951418417674</v>
      </c>
      <c r="T168" s="8">
        <f t="shared" si="25"/>
        <v>1.6590485815823257</v>
      </c>
      <c r="U168" t="str">
        <f t="shared" si="26"/>
        <v>Low</v>
      </c>
    </row>
    <row r="169" spans="1:21">
      <c r="A169" s="1">
        <v>162</v>
      </c>
      <c r="B169" s="2">
        <v>2005</v>
      </c>
      <c r="C169" s="1" t="s">
        <v>36</v>
      </c>
      <c r="D169" s="1" t="s">
        <v>37</v>
      </c>
      <c r="E169" s="1" t="s">
        <v>17</v>
      </c>
      <c r="F169" s="1" t="s">
        <v>32</v>
      </c>
      <c r="G169" s="9">
        <v>61892583</v>
      </c>
      <c r="H169" s="1">
        <v>73</v>
      </c>
      <c r="I169" s="1">
        <v>89</v>
      </c>
      <c r="J169" s="5">
        <v>33.6</v>
      </c>
      <c r="K169" s="1" t="s">
        <v>19</v>
      </c>
      <c r="L169" s="1" t="s">
        <v>19</v>
      </c>
      <c r="M169" s="10">
        <f t="shared" si="18"/>
        <v>1842041.1607142857</v>
      </c>
      <c r="N169" s="10">
        <f t="shared" si="19"/>
        <v>847843.60273972608</v>
      </c>
      <c r="O169" s="1">
        <f t="shared" si="20"/>
        <v>18</v>
      </c>
      <c r="P169" s="1">
        <f t="shared" si="21"/>
        <v>23</v>
      </c>
      <c r="Q169" s="1">
        <f t="shared" si="22"/>
        <v>-5</v>
      </c>
      <c r="R169" s="6">
        <f t="shared" si="23"/>
        <v>0.45061728395061729</v>
      </c>
      <c r="S169" s="8">
        <f t="shared" si="24"/>
        <v>75.302835511121657</v>
      </c>
      <c r="T169" s="8">
        <f t="shared" si="25"/>
        <v>-2.302835511121657</v>
      </c>
      <c r="U169" t="str">
        <f t="shared" si="26"/>
        <v>Low</v>
      </c>
    </row>
    <row r="170" spans="1:21">
      <c r="A170" s="1">
        <v>370</v>
      </c>
      <c r="B170" s="2">
        <v>2005</v>
      </c>
      <c r="C170" s="1" t="s">
        <v>53</v>
      </c>
      <c r="D170" s="1" t="s">
        <v>54</v>
      </c>
      <c r="E170" s="1" t="s">
        <v>17</v>
      </c>
      <c r="F170" s="1" t="s">
        <v>23</v>
      </c>
      <c r="G170" s="9">
        <v>60408834</v>
      </c>
      <c r="H170" s="1">
        <v>83</v>
      </c>
      <c r="I170" s="1">
        <v>79</v>
      </c>
      <c r="J170" s="5">
        <v>23.5</v>
      </c>
      <c r="K170" s="1" t="s">
        <v>19</v>
      </c>
      <c r="L170" s="1" t="s">
        <v>19</v>
      </c>
      <c r="M170" s="10">
        <f t="shared" si="18"/>
        <v>2570588.6808510637</v>
      </c>
      <c r="N170" s="10">
        <f t="shared" si="19"/>
        <v>727817.27710843377</v>
      </c>
      <c r="O170" s="1">
        <f t="shared" si="20"/>
        <v>19</v>
      </c>
      <c r="P170" s="1">
        <f t="shared" si="21"/>
        <v>11</v>
      </c>
      <c r="Q170" s="1">
        <f t="shared" si="22"/>
        <v>8</v>
      </c>
      <c r="R170" s="6">
        <f t="shared" si="23"/>
        <v>0.51234567901234573</v>
      </c>
      <c r="S170" s="8">
        <f t="shared" si="24"/>
        <v>75.1732967078825</v>
      </c>
      <c r="T170" s="8">
        <f t="shared" si="25"/>
        <v>7.8267032921175002</v>
      </c>
      <c r="U170" t="str">
        <f t="shared" si="26"/>
        <v>Low</v>
      </c>
    </row>
    <row r="171" spans="1:21">
      <c r="A171" s="1">
        <v>422</v>
      </c>
      <c r="B171" s="2">
        <v>2005</v>
      </c>
      <c r="C171" s="1" t="s">
        <v>57</v>
      </c>
      <c r="D171" s="1" t="s">
        <v>58</v>
      </c>
      <c r="E171" s="1" t="s">
        <v>26</v>
      </c>
      <c r="F171" s="1" t="s">
        <v>35</v>
      </c>
      <c r="G171" s="9">
        <v>56186000</v>
      </c>
      <c r="H171" s="1">
        <v>83</v>
      </c>
      <c r="I171" s="1">
        <v>79</v>
      </c>
      <c r="J171" s="5">
        <v>41.2</v>
      </c>
      <c r="K171" s="1" t="s">
        <v>19</v>
      </c>
      <c r="L171" s="1" t="s">
        <v>19</v>
      </c>
      <c r="M171" s="10">
        <f t="shared" si="18"/>
        <v>1363737.8640776698</v>
      </c>
      <c r="N171" s="10">
        <f t="shared" si="19"/>
        <v>676939.75903614459</v>
      </c>
      <c r="O171" s="1">
        <f t="shared" si="20"/>
        <v>20</v>
      </c>
      <c r="P171" s="1">
        <f t="shared" si="21"/>
        <v>11</v>
      </c>
      <c r="Q171" s="1">
        <f t="shared" si="22"/>
        <v>9</v>
      </c>
      <c r="R171" s="6">
        <f t="shared" si="23"/>
        <v>0.51234567901234573</v>
      </c>
      <c r="S171" s="8">
        <f t="shared" si="24"/>
        <v>74.804621910030832</v>
      </c>
      <c r="T171" s="8">
        <f t="shared" si="25"/>
        <v>8.1953780899691679</v>
      </c>
      <c r="U171" t="str">
        <f t="shared" si="26"/>
        <v>Low</v>
      </c>
    </row>
    <row r="172" spans="1:21">
      <c r="A172" s="1">
        <v>708</v>
      </c>
      <c r="B172" s="2">
        <v>2005</v>
      </c>
      <c r="C172" s="1" t="s">
        <v>79</v>
      </c>
      <c r="D172" s="1" t="s">
        <v>80</v>
      </c>
      <c r="E172" s="1" t="s">
        <v>26</v>
      </c>
      <c r="F172" s="1" t="s">
        <v>46</v>
      </c>
      <c r="G172" s="9">
        <v>55849000</v>
      </c>
      <c r="H172" s="1">
        <v>79</v>
      </c>
      <c r="I172" s="1">
        <v>83</v>
      </c>
      <c r="J172" s="5">
        <v>39.4</v>
      </c>
      <c r="K172" s="1" t="s">
        <v>19</v>
      </c>
      <c r="L172" s="1" t="s">
        <v>19</v>
      </c>
      <c r="M172" s="10">
        <f t="shared" si="18"/>
        <v>1417487.30964467</v>
      </c>
      <c r="N172" s="10">
        <f t="shared" si="19"/>
        <v>706949.36708860763</v>
      </c>
      <c r="O172" s="1">
        <f t="shared" si="20"/>
        <v>21</v>
      </c>
      <c r="P172" s="1">
        <f t="shared" si="21"/>
        <v>18</v>
      </c>
      <c r="Q172" s="1">
        <f t="shared" si="22"/>
        <v>3</v>
      </c>
      <c r="R172" s="6">
        <f t="shared" si="23"/>
        <v>0.48765432098765432</v>
      </c>
      <c r="S172" s="8">
        <f t="shared" si="24"/>
        <v>74.775200103046231</v>
      </c>
      <c r="T172" s="8">
        <f t="shared" si="25"/>
        <v>4.224799896953769</v>
      </c>
      <c r="U172" t="str">
        <f t="shared" si="26"/>
        <v>Low</v>
      </c>
    </row>
    <row r="173" spans="1:21">
      <c r="A173" s="1">
        <v>500</v>
      </c>
      <c r="B173" s="2">
        <v>2005</v>
      </c>
      <c r="C173" s="1" t="s">
        <v>63</v>
      </c>
      <c r="D173" s="1" t="s">
        <v>64</v>
      </c>
      <c r="E173" s="1" t="s">
        <v>26</v>
      </c>
      <c r="F173" s="1" t="s">
        <v>46</v>
      </c>
      <c r="G173" s="9">
        <v>55425762</v>
      </c>
      <c r="H173" s="1">
        <v>88</v>
      </c>
      <c r="I173" s="1">
        <v>74</v>
      </c>
      <c r="J173" s="5">
        <v>43.9</v>
      </c>
      <c r="K173" s="1" t="s">
        <v>19</v>
      </c>
      <c r="L173" s="1" t="s">
        <v>19</v>
      </c>
      <c r="M173" s="10">
        <f t="shared" si="18"/>
        <v>1262545.8314350797</v>
      </c>
      <c r="N173" s="10">
        <f t="shared" si="19"/>
        <v>629838.20454545459</v>
      </c>
      <c r="O173" s="1">
        <f t="shared" si="20"/>
        <v>22</v>
      </c>
      <c r="P173" s="1">
        <f t="shared" si="21"/>
        <v>9</v>
      </c>
      <c r="Q173" s="1">
        <f t="shared" si="22"/>
        <v>13</v>
      </c>
      <c r="R173" s="6">
        <f t="shared" si="23"/>
        <v>0.54320987654320985</v>
      </c>
      <c r="S173" s="8">
        <f t="shared" si="24"/>
        <v>74.738249281845782</v>
      </c>
      <c r="T173" s="8">
        <f t="shared" si="25"/>
        <v>13.261750718154218</v>
      </c>
      <c r="U173" t="str">
        <f t="shared" si="26"/>
        <v>Low</v>
      </c>
    </row>
    <row r="174" spans="1:21">
      <c r="A174" s="1">
        <v>760</v>
      </c>
      <c r="B174" s="2">
        <v>2005</v>
      </c>
      <c r="C174" s="1" t="s">
        <v>83</v>
      </c>
      <c r="D174" s="1" t="s">
        <v>84</v>
      </c>
      <c r="E174" s="1" t="s">
        <v>17</v>
      </c>
      <c r="F174" s="1" t="s">
        <v>23</v>
      </c>
      <c r="G174" s="9">
        <v>48581500</v>
      </c>
      <c r="H174" s="1">
        <v>81</v>
      </c>
      <c r="I174" s="1">
        <v>81</v>
      </c>
      <c r="J174" s="5">
        <v>33.4</v>
      </c>
      <c r="K174" s="1" t="s">
        <v>19</v>
      </c>
      <c r="L174" s="1" t="s">
        <v>19</v>
      </c>
      <c r="M174" s="10">
        <f t="shared" si="18"/>
        <v>1454535.9281437127</v>
      </c>
      <c r="N174" s="10">
        <f t="shared" si="19"/>
        <v>599771.60493827157</v>
      </c>
      <c r="O174" s="1">
        <f t="shared" si="20"/>
        <v>23</v>
      </c>
      <c r="P174" s="1">
        <f t="shared" si="21"/>
        <v>15</v>
      </c>
      <c r="Q174" s="1">
        <f t="shared" si="22"/>
        <v>8</v>
      </c>
      <c r="R174" s="6">
        <f t="shared" si="23"/>
        <v>0.5</v>
      </c>
      <c r="S174" s="8">
        <f t="shared" si="24"/>
        <v>74.140710541442104</v>
      </c>
      <c r="T174" s="8">
        <f t="shared" si="25"/>
        <v>6.8592894585578961</v>
      </c>
      <c r="U174" t="str">
        <f t="shared" si="26"/>
        <v>Low</v>
      </c>
    </row>
    <row r="175" spans="1:21">
      <c r="A175" s="1">
        <v>214</v>
      </c>
      <c r="B175" s="2">
        <v>2005</v>
      </c>
      <c r="C175" s="1" t="s">
        <v>40</v>
      </c>
      <c r="D175" s="1" t="s">
        <v>41</v>
      </c>
      <c r="E175" s="1" t="s">
        <v>17</v>
      </c>
      <c r="F175" s="1" t="s">
        <v>18</v>
      </c>
      <c r="G175" s="9">
        <v>48155000</v>
      </c>
      <c r="H175" s="1">
        <v>67</v>
      </c>
      <c r="I175" s="1">
        <v>95</v>
      </c>
      <c r="J175" s="5">
        <v>21.2</v>
      </c>
      <c r="K175" s="1" t="s">
        <v>19</v>
      </c>
      <c r="L175" s="1" t="s">
        <v>19</v>
      </c>
      <c r="M175" s="10">
        <f t="shared" si="18"/>
        <v>2271462.2641509436</v>
      </c>
      <c r="N175" s="10">
        <f t="shared" si="19"/>
        <v>718731.34328358213</v>
      </c>
      <c r="O175" s="1">
        <f t="shared" si="20"/>
        <v>24</v>
      </c>
      <c r="P175" s="1">
        <f t="shared" si="21"/>
        <v>27</v>
      </c>
      <c r="Q175" s="1">
        <f t="shared" si="22"/>
        <v>-3</v>
      </c>
      <c r="R175" s="6">
        <f t="shared" si="23"/>
        <v>0.41358024691358025</v>
      </c>
      <c r="S175" s="8">
        <f t="shared" si="24"/>
        <v>74.103474931118853</v>
      </c>
      <c r="T175" s="8">
        <f t="shared" si="25"/>
        <v>-7.1034749311188534</v>
      </c>
      <c r="U175" t="str">
        <f t="shared" si="26"/>
        <v>Low</v>
      </c>
    </row>
    <row r="176" spans="1:21">
      <c r="A176" s="1">
        <v>734</v>
      </c>
      <c r="B176" s="2">
        <v>2005</v>
      </c>
      <c r="C176" s="1" t="s">
        <v>81</v>
      </c>
      <c r="D176" s="1" t="s">
        <v>82</v>
      </c>
      <c r="E176" s="1" t="s">
        <v>26</v>
      </c>
      <c r="F176" s="1" t="s">
        <v>27</v>
      </c>
      <c r="G176" s="9">
        <v>45719500</v>
      </c>
      <c r="H176" s="1">
        <v>80</v>
      </c>
      <c r="I176" s="1">
        <v>82</v>
      </c>
      <c r="J176" s="5">
        <v>42.1</v>
      </c>
      <c r="K176" s="1" t="s">
        <v>19</v>
      </c>
      <c r="L176" s="1" t="s">
        <v>19</v>
      </c>
      <c r="M176" s="10">
        <f t="shared" si="18"/>
        <v>1085973.8717339667</v>
      </c>
      <c r="N176" s="10">
        <f t="shared" si="19"/>
        <v>571493.75</v>
      </c>
      <c r="O176" s="1">
        <f t="shared" si="20"/>
        <v>25</v>
      </c>
      <c r="P176" s="1">
        <f t="shared" si="21"/>
        <v>17</v>
      </c>
      <c r="Q176" s="1">
        <f t="shared" si="22"/>
        <v>8</v>
      </c>
      <c r="R176" s="6">
        <f t="shared" si="23"/>
        <v>0.49382716049382713</v>
      </c>
      <c r="S176" s="8">
        <f t="shared" si="24"/>
        <v>73.890843444736078</v>
      </c>
      <c r="T176" s="8">
        <f t="shared" si="25"/>
        <v>6.1091565552639224</v>
      </c>
      <c r="U176" t="str">
        <f t="shared" si="26"/>
        <v>Low</v>
      </c>
    </row>
    <row r="177" spans="1:21">
      <c r="A177" s="1">
        <v>188</v>
      </c>
      <c r="B177" s="2">
        <v>2005</v>
      </c>
      <c r="C177" s="1" t="s">
        <v>38</v>
      </c>
      <c r="D177" s="1" t="s">
        <v>39</v>
      </c>
      <c r="E177" s="1" t="s">
        <v>26</v>
      </c>
      <c r="F177" s="1" t="s">
        <v>35</v>
      </c>
      <c r="G177" s="9">
        <v>41830400</v>
      </c>
      <c r="H177" s="1">
        <v>93</v>
      </c>
      <c r="I177" s="1">
        <v>69</v>
      </c>
      <c r="J177" s="5">
        <v>50.4</v>
      </c>
      <c r="K177" s="1" t="s">
        <v>19</v>
      </c>
      <c r="L177" s="1" t="s">
        <v>19</v>
      </c>
      <c r="M177" s="10">
        <f t="shared" si="18"/>
        <v>829968.25396825396</v>
      </c>
      <c r="N177" s="10">
        <f t="shared" si="19"/>
        <v>449789.24731182796</v>
      </c>
      <c r="O177" s="1">
        <f t="shared" si="20"/>
        <v>26</v>
      </c>
      <c r="P177" s="1">
        <f t="shared" si="21"/>
        <v>6</v>
      </c>
      <c r="Q177" s="1">
        <f t="shared" si="22"/>
        <v>20</v>
      </c>
      <c r="R177" s="6">
        <f t="shared" si="23"/>
        <v>0.57407407407407407</v>
      </c>
      <c r="S177" s="8">
        <f t="shared" si="24"/>
        <v>73.551305315525951</v>
      </c>
      <c r="T177" s="8">
        <f t="shared" si="25"/>
        <v>19.448694684474049</v>
      </c>
      <c r="U177" t="str">
        <f t="shared" si="26"/>
        <v>Low</v>
      </c>
    </row>
    <row r="178" spans="1:21">
      <c r="A178" s="1">
        <v>396</v>
      </c>
      <c r="B178" s="2">
        <v>2005</v>
      </c>
      <c r="C178" s="1" t="s">
        <v>55</v>
      </c>
      <c r="D178" s="1" t="s">
        <v>56</v>
      </c>
      <c r="E178" s="1" t="s">
        <v>17</v>
      </c>
      <c r="F178" s="1" t="s">
        <v>32</v>
      </c>
      <c r="G178" s="9">
        <v>39934833</v>
      </c>
      <c r="H178" s="1">
        <v>81</v>
      </c>
      <c r="I178" s="1">
        <v>81</v>
      </c>
      <c r="J178" s="5">
        <v>36.6</v>
      </c>
      <c r="K178" s="1" t="s">
        <v>19</v>
      </c>
      <c r="L178" s="1" t="s">
        <v>19</v>
      </c>
      <c r="M178" s="10">
        <f t="shared" si="18"/>
        <v>1091115.6557377048</v>
      </c>
      <c r="N178" s="10">
        <f t="shared" si="19"/>
        <v>493022.62962962961</v>
      </c>
      <c r="O178" s="1">
        <f t="shared" si="20"/>
        <v>27</v>
      </c>
      <c r="P178" s="1">
        <f t="shared" si="21"/>
        <v>15</v>
      </c>
      <c r="Q178" s="1">
        <f t="shared" si="22"/>
        <v>12</v>
      </c>
      <c r="R178" s="6">
        <f t="shared" si="23"/>
        <v>0.5</v>
      </c>
      <c r="S178" s="8">
        <f t="shared" si="24"/>
        <v>73.385812714931348</v>
      </c>
      <c r="T178" s="8">
        <f t="shared" si="25"/>
        <v>7.6141872850686525</v>
      </c>
      <c r="U178" t="str">
        <f t="shared" si="26"/>
        <v>Low</v>
      </c>
    </row>
    <row r="179" spans="1:21">
      <c r="A179" s="1">
        <v>552</v>
      </c>
      <c r="B179" s="2">
        <v>2005</v>
      </c>
      <c r="C179" s="1" t="s">
        <v>67</v>
      </c>
      <c r="D179" s="1" t="s">
        <v>68</v>
      </c>
      <c r="E179" s="1" t="s">
        <v>17</v>
      </c>
      <c r="F179" s="1" t="s">
        <v>32</v>
      </c>
      <c r="G179" s="9">
        <v>38133000</v>
      </c>
      <c r="H179" s="1">
        <v>67</v>
      </c>
      <c r="I179" s="1">
        <v>95</v>
      </c>
      <c r="J179" s="5">
        <v>21.5</v>
      </c>
      <c r="K179" s="1" t="s">
        <v>19</v>
      </c>
      <c r="L179" s="1" t="s">
        <v>19</v>
      </c>
      <c r="M179" s="10">
        <f t="shared" si="18"/>
        <v>1773627.9069767443</v>
      </c>
      <c r="N179" s="10">
        <f t="shared" si="19"/>
        <v>569149.25373134331</v>
      </c>
      <c r="O179" s="1">
        <f t="shared" si="20"/>
        <v>28</v>
      </c>
      <c r="P179" s="1">
        <f t="shared" si="21"/>
        <v>27</v>
      </c>
      <c r="Q179" s="1">
        <f t="shared" si="22"/>
        <v>1</v>
      </c>
      <c r="R179" s="6">
        <f t="shared" si="23"/>
        <v>0.41358024691358025</v>
      </c>
      <c r="S179" s="8">
        <f t="shared" si="24"/>
        <v>73.22850356732161</v>
      </c>
      <c r="T179" s="8">
        <f t="shared" si="25"/>
        <v>-6.22850356732161</v>
      </c>
      <c r="U179" t="str">
        <f t="shared" si="26"/>
        <v>Low</v>
      </c>
    </row>
    <row r="180" spans="1:21">
      <c r="A180" s="1">
        <v>292</v>
      </c>
      <c r="B180" s="2">
        <v>2005</v>
      </c>
      <c r="C180" s="1" t="s">
        <v>47</v>
      </c>
      <c r="D180" s="1" t="s">
        <v>48</v>
      </c>
      <c r="E180" s="1" t="s">
        <v>26</v>
      </c>
      <c r="F180" s="1" t="s">
        <v>35</v>
      </c>
      <c r="G180" s="9">
        <v>36881000</v>
      </c>
      <c r="H180" s="1">
        <v>56</v>
      </c>
      <c r="I180" s="1">
        <v>106</v>
      </c>
      <c r="J180" s="5">
        <v>44.9</v>
      </c>
      <c r="K180" s="1" t="s">
        <v>19</v>
      </c>
      <c r="L180" s="1" t="s">
        <v>19</v>
      </c>
      <c r="M180" s="10">
        <f t="shared" si="18"/>
        <v>821403.11804008915</v>
      </c>
      <c r="N180" s="10">
        <f t="shared" si="19"/>
        <v>658589.28571428568</v>
      </c>
      <c r="O180" s="1">
        <f t="shared" si="20"/>
        <v>29</v>
      </c>
      <c r="P180" s="1">
        <f t="shared" si="21"/>
        <v>30</v>
      </c>
      <c r="Q180" s="1">
        <f t="shared" si="22"/>
        <v>-1</v>
      </c>
      <c r="R180" s="6">
        <f t="shared" si="23"/>
        <v>0.34567901234567899</v>
      </c>
      <c r="S180" s="8">
        <f t="shared" si="24"/>
        <v>73.119197625645882</v>
      </c>
      <c r="T180" s="8">
        <f t="shared" si="25"/>
        <v>-17.119197625645882</v>
      </c>
      <c r="U180" t="str">
        <f t="shared" si="26"/>
        <v>Low</v>
      </c>
    </row>
    <row r="181" spans="1:21">
      <c r="A181" s="1">
        <v>682</v>
      </c>
      <c r="B181" s="2">
        <v>2005</v>
      </c>
      <c r="C181" s="1" t="s">
        <v>77</v>
      </c>
      <c r="D181" s="1" t="s">
        <v>78</v>
      </c>
      <c r="E181" s="1" t="s">
        <v>26</v>
      </c>
      <c r="F181" s="1" t="s">
        <v>27</v>
      </c>
      <c r="G181" s="9">
        <v>29679067</v>
      </c>
      <c r="H181" s="1">
        <v>67</v>
      </c>
      <c r="I181" s="1">
        <v>95</v>
      </c>
      <c r="J181" s="5">
        <v>31.2</v>
      </c>
      <c r="K181" s="1" t="s">
        <v>19</v>
      </c>
      <c r="L181" s="1" t="s">
        <v>19</v>
      </c>
      <c r="M181" s="10">
        <f t="shared" si="18"/>
        <v>951252.1474358975</v>
      </c>
      <c r="N181" s="10">
        <f t="shared" si="19"/>
        <v>442971.14925373136</v>
      </c>
      <c r="O181" s="1">
        <f t="shared" si="20"/>
        <v>30</v>
      </c>
      <c r="P181" s="1">
        <f t="shared" si="21"/>
        <v>27</v>
      </c>
      <c r="Q181" s="1">
        <f t="shared" si="22"/>
        <v>3</v>
      </c>
      <c r="R181" s="6">
        <f t="shared" si="23"/>
        <v>0.41358024691358025</v>
      </c>
      <c r="S181" s="8">
        <f t="shared" si="24"/>
        <v>72.490432395254089</v>
      </c>
      <c r="T181" s="8">
        <f t="shared" si="25"/>
        <v>-5.4904323952540892</v>
      </c>
      <c r="U181" t="str">
        <f t="shared" si="26"/>
        <v>Low</v>
      </c>
    </row>
    <row r="182" spans="1:21">
      <c r="A182" s="1">
        <v>475</v>
      </c>
      <c r="B182" s="2">
        <v>2006</v>
      </c>
      <c r="C182" s="1" t="s">
        <v>61</v>
      </c>
      <c r="D182" s="1" t="s">
        <v>62</v>
      </c>
      <c r="E182" s="1" t="s">
        <v>26</v>
      </c>
      <c r="F182" s="1" t="s">
        <v>27</v>
      </c>
      <c r="G182" s="9">
        <v>194663079</v>
      </c>
      <c r="H182" s="1">
        <v>97</v>
      </c>
      <c r="I182" s="1">
        <v>65</v>
      </c>
      <c r="J182" s="5">
        <v>46.2</v>
      </c>
      <c r="K182" s="1" t="s">
        <v>20</v>
      </c>
      <c r="L182" s="1" t="s">
        <v>19</v>
      </c>
      <c r="M182" s="10">
        <f t="shared" si="18"/>
        <v>4213486.5584415579</v>
      </c>
      <c r="N182" s="10">
        <f t="shared" si="19"/>
        <v>2006835.8659793814</v>
      </c>
      <c r="O182" s="1">
        <f t="shared" si="20"/>
        <v>1</v>
      </c>
      <c r="P182" s="1">
        <f t="shared" si="21"/>
        <v>1</v>
      </c>
      <c r="Q182" s="1">
        <f t="shared" si="22"/>
        <v>0</v>
      </c>
      <c r="R182" s="6">
        <f t="shared" si="23"/>
        <v>0.59876543209876543</v>
      </c>
      <c r="S182" s="8">
        <f t="shared" si="24"/>
        <v>86.894372325845069</v>
      </c>
      <c r="T182" s="8">
        <f t="shared" si="25"/>
        <v>10.105627674154931</v>
      </c>
      <c r="U182" t="str">
        <f t="shared" si="26"/>
        <v>High</v>
      </c>
    </row>
    <row r="183" spans="1:21">
      <c r="A183" s="1">
        <v>85</v>
      </c>
      <c r="B183" s="2">
        <v>2006</v>
      </c>
      <c r="C183" s="1" t="s">
        <v>28</v>
      </c>
      <c r="D183" s="1" t="s">
        <v>29</v>
      </c>
      <c r="E183" s="1" t="s">
        <v>26</v>
      </c>
      <c r="F183" s="1" t="s">
        <v>27</v>
      </c>
      <c r="G183" s="9">
        <v>120099824</v>
      </c>
      <c r="H183" s="1">
        <v>86</v>
      </c>
      <c r="I183" s="1">
        <v>76</v>
      </c>
      <c r="J183" s="5">
        <v>34.700000000000003</v>
      </c>
      <c r="K183" s="1" t="s">
        <v>19</v>
      </c>
      <c r="L183" s="1" t="s">
        <v>19</v>
      </c>
      <c r="M183" s="10">
        <f t="shared" si="18"/>
        <v>3461090.0288184434</v>
      </c>
      <c r="N183" s="10">
        <f t="shared" si="19"/>
        <v>1396509.5813953488</v>
      </c>
      <c r="O183" s="1">
        <f t="shared" si="20"/>
        <v>2</v>
      </c>
      <c r="P183" s="1">
        <f t="shared" si="21"/>
        <v>11</v>
      </c>
      <c r="Q183" s="1">
        <f t="shared" si="22"/>
        <v>-9</v>
      </c>
      <c r="R183" s="6">
        <f t="shared" si="23"/>
        <v>0.53086419753086422</v>
      </c>
      <c r="S183" s="8">
        <f t="shared" si="24"/>
        <v>80.384622483846215</v>
      </c>
      <c r="T183" s="8">
        <f t="shared" si="25"/>
        <v>5.6153775161537851</v>
      </c>
      <c r="U183" t="str">
        <f t="shared" si="26"/>
        <v>Mid</v>
      </c>
    </row>
    <row r="184" spans="1:21">
      <c r="A184" s="1">
        <v>319</v>
      </c>
      <c r="B184" s="2">
        <v>2006</v>
      </c>
      <c r="C184" s="1" t="s">
        <v>49</v>
      </c>
      <c r="D184" s="1" t="s">
        <v>50</v>
      </c>
      <c r="E184" s="1" t="s">
        <v>26</v>
      </c>
      <c r="F184" s="1" t="s">
        <v>46</v>
      </c>
      <c r="G184" s="9">
        <v>103472000</v>
      </c>
      <c r="H184" s="1">
        <v>89</v>
      </c>
      <c r="I184" s="1">
        <v>73</v>
      </c>
      <c r="J184" s="5">
        <v>15.1</v>
      </c>
      <c r="K184" s="1" t="s">
        <v>19</v>
      </c>
      <c r="L184" s="1" t="s">
        <v>19</v>
      </c>
      <c r="M184" s="10">
        <f t="shared" si="18"/>
        <v>6852450.3311258284</v>
      </c>
      <c r="N184" s="10">
        <f t="shared" si="19"/>
        <v>1162606.7415730336</v>
      </c>
      <c r="O184" s="1">
        <f t="shared" si="20"/>
        <v>3</v>
      </c>
      <c r="P184" s="1">
        <f t="shared" si="21"/>
        <v>7</v>
      </c>
      <c r="Q184" s="1">
        <f t="shared" si="22"/>
        <v>-4</v>
      </c>
      <c r="R184" s="6">
        <f t="shared" si="23"/>
        <v>0.54938271604938271</v>
      </c>
      <c r="S184" s="8">
        <f t="shared" si="24"/>
        <v>78.932929224790058</v>
      </c>
      <c r="T184" s="8">
        <f t="shared" si="25"/>
        <v>10.067070775209942</v>
      </c>
      <c r="U184" t="str">
        <f t="shared" si="26"/>
        <v>Mid</v>
      </c>
    </row>
    <row r="185" spans="1:21">
      <c r="A185" s="1">
        <v>137</v>
      </c>
      <c r="B185" s="2">
        <v>2006</v>
      </c>
      <c r="C185" s="1" t="s">
        <v>33</v>
      </c>
      <c r="D185" s="1" t="s">
        <v>34</v>
      </c>
      <c r="E185" s="1" t="s">
        <v>26</v>
      </c>
      <c r="F185" s="1" t="s">
        <v>35</v>
      </c>
      <c r="G185" s="9">
        <v>102750667</v>
      </c>
      <c r="H185" s="1">
        <v>90</v>
      </c>
      <c r="I185" s="1">
        <v>72</v>
      </c>
      <c r="J185" s="5">
        <v>42.9</v>
      </c>
      <c r="K185" s="1" t="s">
        <v>19</v>
      </c>
      <c r="L185" s="1" t="s">
        <v>19</v>
      </c>
      <c r="M185" s="10">
        <f t="shared" si="18"/>
        <v>2395120.4428904429</v>
      </c>
      <c r="N185" s="10">
        <f t="shared" si="19"/>
        <v>1141674.0777777778</v>
      </c>
      <c r="O185" s="1">
        <f t="shared" si="20"/>
        <v>4</v>
      </c>
      <c r="P185" s="1">
        <f t="shared" si="21"/>
        <v>6</v>
      </c>
      <c r="Q185" s="1">
        <f t="shared" si="22"/>
        <v>-2</v>
      </c>
      <c r="R185" s="6">
        <f t="shared" si="23"/>
        <v>0.55555555555555558</v>
      </c>
      <c r="S185" s="8">
        <f t="shared" si="24"/>
        <v>78.869953200168027</v>
      </c>
      <c r="T185" s="8">
        <f t="shared" si="25"/>
        <v>11.130046799831973</v>
      </c>
      <c r="U185" t="str">
        <f t="shared" si="26"/>
        <v>Mid</v>
      </c>
    </row>
    <row r="186" spans="1:21">
      <c r="A186" s="1">
        <v>449</v>
      </c>
      <c r="B186" s="2">
        <v>2006</v>
      </c>
      <c r="C186" s="1" t="s">
        <v>59</v>
      </c>
      <c r="D186" s="1" t="s">
        <v>60</v>
      </c>
      <c r="E186" s="1" t="s">
        <v>17</v>
      </c>
      <c r="F186" s="1" t="s">
        <v>23</v>
      </c>
      <c r="G186" s="9">
        <v>101084963</v>
      </c>
      <c r="H186" s="1">
        <v>97</v>
      </c>
      <c r="I186" s="1">
        <v>65</v>
      </c>
      <c r="J186" s="5">
        <v>48.7</v>
      </c>
      <c r="K186" s="1" t="s">
        <v>20</v>
      </c>
      <c r="L186" s="1" t="s">
        <v>19</v>
      </c>
      <c r="M186" s="10">
        <f t="shared" si="18"/>
        <v>2075666.5913757698</v>
      </c>
      <c r="N186" s="10">
        <f t="shared" si="19"/>
        <v>1042113.0206185566</v>
      </c>
      <c r="O186" s="1">
        <f t="shared" si="20"/>
        <v>5</v>
      </c>
      <c r="P186" s="1">
        <f t="shared" si="21"/>
        <v>1</v>
      </c>
      <c r="Q186" s="1">
        <f t="shared" si="22"/>
        <v>4</v>
      </c>
      <c r="R186" s="6">
        <f t="shared" si="23"/>
        <v>0.59876543209876543</v>
      </c>
      <c r="S186" s="8">
        <f t="shared" si="24"/>
        <v>78.724528803783826</v>
      </c>
      <c r="T186" s="8">
        <f t="shared" si="25"/>
        <v>18.275471196216174</v>
      </c>
      <c r="U186" t="str">
        <f t="shared" si="26"/>
        <v>Mid</v>
      </c>
    </row>
    <row r="187" spans="1:21">
      <c r="A187" s="1">
        <v>345</v>
      </c>
      <c r="B187" s="2">
        <v>2006</v>
      </c>
      <c r="C187" s="1" t="s">
        <v>51</v>
      </c>
      <c r="D187" s="1" t="s">
        <v>52</v>
      </c>
      <c r="E187" s="1" t="s">
        <v>17</v>
      </c>
      <c r="F187" s="1" t="s">
        <v>18</v>
      </c>
      <c r="G187" s="9">
        <v>98447187</v>
      </c>
      <c r="H187" s="1">
        <v>88</v>
      </c>
      <c r="I187" s="1">
        <v>74</v>
      </c>
      <c r="J187" s="5">
        <v>37.5</v>
      </c>
      <c r="K187" s="1" t="s">
        <v>20</v>
      </c>
      <c r="L187" s="1" t="s">
        <v>19</v>
      </c>
      <c r="M187" s="10">
        <f t="shared" si="18"/>
        <v>2625258.3199999998</v>
      </c>
      <c r="N187" s="10">
        <f t="shared" si="19"/>
        <v>1118718.0340909092</v>
      </c>
      <c r="O187" s="1">
        <f t="shared" si="20"/>
        <v>6</v>
      </c>
      <c r="P187" s="1">
        <f t="shared" si="21"/>
        <v>8</v>
      </c>
      <c r="Q187" s="1">
        <f t="shared" si="22"/>
        <v>-2</v>
      </c>
      <c r="R187" s="6">
        <f t="shared" si="23"/>
        <v>0.54320987654320985</v>
      </c>
      <c r="S187" s="8">
        <f t="shared" si="24"/>
        <v>78.494237598025322</v>
      </c>
      <c r="T187" s="8">
        <f t="shared" si="25"/>
        <v>9.5057624019746783</v>
      </c>
      <c r="U187" t="str">
        <f t="shared" si="26"/>
        <v>Mid</v>
      </c>
    </row>
    <row r="188" spans="1:21">
      <c r="A188" s="1">
        <v>111</v>
      </c>
      <c r="B188" s="2">
        <v>2006</v>
      </c>
      <c r="C188" s="1" t="s">
        <v>30</v>
      </c>
      <c r="D188" s="1" t="s">
        <v>31</v>
      </c>
      <c r="E188" s="1" t="s">
        <v>17</v>
      </c>
      <c r="F188" s="1" t="s">
        <v>32</v>
      </c>
      <c r="G188" s="9">
        <v>94424499</v>
      </c>
      <c r="H188" s="1">
        <v>66</v>
      </c>
      <c r="I188" s="1">
        <v>96</v>
      </c>
      <c r="J188" s="5">
        <v>19.8</v>
      </c>
      <c r="K188" s="1" t="s">
        <v>19</v>
      </c>
      <c r="L188" s="1" t="s">
        <v>19</v>
      </c>
      <c r="M188" s="10">
        <f t="shared" si="18"/>
        <v>4768914.0909090908</v>
      </c>
      <c r="N188" s="10">
        <f t="shared" si="19"/>
        <v>1430674.2272727273</v>
      </c>
      <c r="O188" s="1">
        <f t="shared" si="20"/>
        <v>7</v>
      </c>
      <c r="P188" s="1">
        <f t="shared" si="21"/>
        <v>28</v>
      </c>
      <c r="Q188" s="1">
        <f t="shared" si="22"/>
        <v>-21</v>
      </c>
      <c r="R188" s="6">
        <f t="shared" si="23"/>
        <v>0.40740740740740738</v>
      </c>
      <c r="S188" s="8">
        <f t="shared" si="24"/>
        <v>78.143036559760418</v>
      </c>
      <c r="T188" s="8">
        <f t="shared" si="25"/>
        <v>-12.143036559760418</v>
      </c>
      <c r="U188" t="str">
        <f t="shared" si="26"/>
        <v>Mid</v>
      </c>
    </row>
    <row r="189" spans="1:21">
      <c r="A189" s="1">
        <v>267</v>
      </c>
      <c r="B189" s="2">
        <v>2006</v>
      </c>
      <c r="C189" s="1" t="s">
        <v>44</v>
      </c>
      <c r="D189" s="1" t="s">
        <v>45</v>
      </c>
      <c r="E189" s="1" t="s">
        <v>26</v>
      </c>
      <c r="F189" s="1" t="s">
        <v>46</v>
      </c>
      <c r="G189" s="9">
        <v>92551503</v>
      </c>
      <c r="H189" s="1">
        <v>82</v>
      </c>
      <c r="I189" s="1">
        <v>80</v>
      </c>
      <c r="J189" s="5">
        <v>36.9</v>
      </c>
      <c r="K189" s="1" t="s">
        <v>19</v>
      </c>
      <c r="L189" s="1" t="s">
        <v>19</v>
      </c>
      <c r="M189" s="10">
        <f t="shared" si="18"/>
        <v>2508170.8130081301</v>
      </c>
      <c r="N189" s="10">
        <f t="shared" si="19"/>
        <v>1128676.8658536586</v>
      </c>
      <c r="O189" s="1">
        <f t="shared" si="20"/>
        <v>8</v>
      </c>
      <c r="P189" s="1">
        <f t="shared" si="21"/>
        <v>14</v>
      </c>
      <c r="Q189" s="1">
        <f t="shared" si="22"/>
        <v>-6</v>
      </c>
      <c r="R189" s="6">
        <f t="shared" si="23"/>
        <v>0.50617283950617287</v>
      </c>
      <c r="S189" s="8">
        <f t="shared" si="24"/>
        <v>77.979514521793277</v>
      </c>
      <c r="T189" s="8">
        <f t="shared" si="25"/>
        <v>4.020485478206723</v>
      </c>
      <c r="U189" t="str">
        <f t="shared" si="26"/>
        <v>Mid</v>
      </c>
    </row>
    <row r="190" spans="1:21">
      <c r="A190" s="1">
        <v>33</v>
      </c>
      <c r="B190" s="2">
        <v>2006</v>
      </c>
      <c r="C190" s="1" t="s">
        <v>21</v>
      </c>
      <c r="D190" s="1" t="s">
        <v>22</v>
      </c>
      <c r="E190" s="1" t="s">
        <v>17</v>
      </c>
      <c r="F190" s="1" t="s">
        <v>23</v>
      </c>
      <c r="G190" s="9">
        <v>90156876</v>
      </c>
      <c r="H190" s="1">
        <v>79</v>
      </c>
      <c r="I190" s="1">
        <v>83</v>
      </c>
      <c r="J190" s="5">
        <v>31.3</v>
      </c>
      <c r="K190" s="1" t="s">
        <v>19</v>
      </c>
      <c r="L190" s="1" t="s">
        <v>19</v>
      </c>
      <c r="M190" s="10">
        <f t="shared" si="18"/>
        <v>2880411.3738019168</v>
      </c>
      <c r="N190" s="10">
        <f t="shared" si="19"/>
        <v>1141226.2784810127</v>
      </c>
      <c r="O190" s="1">
        <f t="shared" si="20"/>
        <v>9</v>
      </c>
      <c r="P190" s="1">
        <f t="shared" si="21"/>
        <v>17</v>
      </c>
      <c r="Q190" s="1">
        <f t="shared" si="22"/>
        <v>-8</v>
      </c>
      <c r="R190" s="6">
        <f t="shared" si="23"/>
        <v>0.48765432098765432</v>
      </c>
      <c r="S190" s="8">
        <f t="shared" si="24"/>
        <v>77.770451455341885</v>
      </c>
      <c r="T190" s="8">
        <f t="shared" si="25"/>
        <v>1.2295485446581154</v>
      </c>
      <c r="U190" t="str">
        <f t="shared" si="26"/>
        <v>Mid</v>
      </c>
    </row>
    <row r="191" spans="1:21">
      <c r="A191" s="1">
        <v>605</v>
      </c>
      <c r="B191" s="2">
        <v>2006</v>
      </c>
      <c r="C191" s="1" t="s">
        <v>71</v>
      </c>
      <c r="D191" s="1" t="s">
        <v>72</v>
      </c>
      <c r="E191" s="1" t="s">
        <v>17</v>
      </c>
      <c r="F191" s="1" t="s">
        <v>18</v>
      </c>
      <c r="G191" s="9">
        <v>90056419</v>
      </c>
      <c r="H191" s="1">
        <v>76</v>
      </c>
      <c r="I191" s="1">
        <v>85</v>
      </c>
      <c r="J191" s="5">
        <v>31.4</v>
      </c>
      <c r="K191" s="1" t="s">
        <v>19</v>
      </c>
      <c r="L191" s="1" t="s">
        <v>19</v>
      </c>
      <c r="M191" s="10">
        <f t="shared" si="18"/>
        <v>2868038.8216560511</v>
      </c>
      <c r="N191" s="10">
        <f t="shared" si="19"/>
        <v>1184952.8815789474</v>
      </c>
      <c r="O191" s="1">
        <f t="shared" si="20"/>
        <v>10</v>
      </c>
      <c r="P191" s="1">
        <f t="shared" si="21"/>
        <v>21</v>
      </c>
      <c r="Q191" s="1">
        <f t="shared" si="22"/>
        <v>-11</v>
      </c>
      <c r="R191" s="6">
        <f t="shared" si="23"/>
        <v>0.47204968944099379</v>
      </c>
      <c r="S191" s="8">
        <f t="shared" si="24"/>
        <v>77.761681050403453</v>
      </c>
      <c r="T191" s="8">
        <f t="shared" si="25"/>
        <v>-1.7616810504034532</v>
      </c>
      <c r="U191" t="str">
        <f t="shared" si="26"/>
        <v>Mid</v>
      </c>
    </row>
    <row r="192" spans="1:21">
      <c r="A192" s="1">
        <v>657</v>
      </c>
      <c r="B192" s="2">
        <v>2006</v>
      </c>
      <c r="C192" s="1" t="s">
        <v>75</v>
      </c>
      <c r="D192" s="1" t="s">
        <v>76</v>
      </c>
      <c r="E192" s="1" t="s">
        <v>17</v>
      </c>
      <c r="F192" s="1" t="s">
        <v>32</v>
      </c>
      <c r="G192" s="9">
        <v>88891371</v>
      </c>
      <c r="H192" s="1">
        <v>83</v>
      </c>
      <c r="I192" s="1">
        <v>78</v>
      </c>
      <c r="J192" s="5">
        <v>36.6</v>
      </c>
      <c r="K192" s="1" t="s">
        <v>20</v>
      </c>
      <c r="L192" s="1" t="s">
        <v>20</v>
      </c>
      <c r="M192" s="10">
        <f t="shared" si="18"/>
        <v>2428725.9836065574</v>
      </c>
      <c r="N192" s="10">
        <f t="shared" si="19"/>
        <v>1070980.373493976</v>
      </c>
      <c r="O192" s="1">
        <f t="shared" si="20"/>
        <v>11</v>
      </c>
      <c r="P192" s="1">
        <f t="shared" si="21"/>
        <v>13</v>
      </c>
      <c r="Q192" s="1">
        <f t="shared" si="22"/>
        <v>-2</v>
      </c>
      <c r="R192" s="6">
        <f t="shared" si="23"/>
        <v>0.51552795031055898</v>
      </c>
      <c r="S192" s="8">
        <f t="shared" si="24"/>
        <v>77.659966458760152</v>
      </c>
      <c r="T192" s="8">
        <f t="shared" si="25"/>
        <v>5.3400335412398476</v>
      </c>
      <c r="U192" t="str">
        <f t="shared" si="26"/>
        <v>Mid</v>
      </c>
    </row>
    <row r="193" spans="1:21">
      <c r="A193" s="1">
        <v>527</v>
      </c>
      <c r="B193" s="2">
        <v>2006</v>
      </c>
      <c r="C193" s="1" t="s">
        <v>65</v>
      </c>
      <c r="D193" s="1" t="s">
        <v>66</v>
      </c>
      <c r="E193" s="1" t="s">
        <v>17</v>
      </c>
      <c r="F193" s="1" t="s">
        <v>23</v>
      </c>
      <c r="G193" s="9">
        <v>88273333</v>
      </c>
      <c r="H193" s="1">
        <v>85</v>
      </c>
      <c r="I193" s="1">
        <v>77</v>
      </c>
      <c r="J193" s="5">
        <v>43.9</v>
      </c>
      <c r="K193" s="1" t="s">
        <v>19</v>
      </c>
      <c r="L193" s="1" t="s">
        <v>19</v>
      </c>
      <c r="M193" s="10">
        <f t="shared" si="18"/>
        <v>2010782.0728929385</v>
      </c>
      <c r="N193" s="10">
        <f t="shared" si="19"/>
        <v>1038509.8</v>
      </c>
      <c r="O193" s="1">
        <f t="shared" si="20"/>
        <v>12</v>
      </c>
      <c r="P193" s="1">
        <f t="shared" si="21"/>
        <v>12</v>
      </c>
      <c r="Q193" s="1">
        <f t="shared" si="22"/>
        <v>0</v>
      </c>
      <c r="R193" s="6">
        <f t="shared" si="23"/>
        <v>0.52469135802469136</v>
      </c>
      <c r="S193" s="8">
        <f t="shared" si="24"/>
        <v>77.606008610851688</v>
      </c>
      <c r="T193" s="8">
        <f t="shared" si="25"/>
        <v>7.3939913891483116</v>
      </c>
      <c r="U193" t="str">
        <f t="shared" si="26"/>
        <v>Mid</v>
      </c>
    </row>
    <row r="194" spans="1:21">
      <c r="A194" s="1">
        <v>631</v>
      </c>
      <c r="B194" s="2">
        <v>2006</v>
      </c>
      <c r="C194" s="1" t="s">
        <v>73</v>
      </c>
      <c r="D194" s="1" t="s">
        <v>74</v>
      </c>
      <c r="E194" s="1" t="s">
        <v>26</v>
      </c>
      <c r="F194" s="1" t="s">
        <v>46</v>
      </c>
      <c r="G194" s="9">
        <v>87959833</v>
      </c>
      <c r="H194" s="1">
        <v>78</v>
      </c>
      <c r="I194" s="1">
        <v>84</v>
      </c>
      <c r="J194" s="5">
        <v>33.9</v>
      </c>
      <c r="K194" s="1" t="s">
        <v>19</v>
      </c>
      <c r="L194" s="1" t="s">
        <v>19</v>
      </c>
      <c r="M194" s="10">
        <f t="shared" ref="M194:M257" si="27">G194/J194</f>
        <v>2594685.3392330385</v>
      </c>
      <c r="N194" s="10">
        <f t="shared" ref="N194:N257" si="28">G194/H194</f>
        <v>1127690.1666666667</v>
      </c>
      <c r="O194" s="1">
        <f t="shared" si="20"/>
        <v>13</v>
      </c>
      <c r="P194" s="1">
        <f t="shared" si="21"/>
        <v>18</v>
      </c>
      <c r="Q194" s="1">
        <f t="shared" si="22"/>
        <v>-5</v>
      </c>
      <c r="R194" s="6">
        <f t="shared" si="23"/>
        <v>0.48148148148148145</v>
      </c>
      <c r="S194" s="8">
        <f t="shared" si="24"/>
        <v>77.578638472900138</v>
      </c>
      <c r="T194" s="8">
        <f t="shared" si="25"/>
        <v>0.42136152709986163</v>
      </c>
      <c r="U194" t="str">
        <f t="shared" si="26"/>
        <v>Mid</v>
      </c>
    </row>
    <row r="195" spans="1:21">
      <c r="A195" s="1">
        <v>241</v>
      </c>
      <c r="B195" s="2">
        <v>2006</v>
      </c>
      <c r="C195" s="1" t="s">
        <v>42</v>
      </c>
      <c r="D195" s="1" t="s">
        <v>43</v>
      </c>
      <c r="E195" s="1" t="s">
        <v>26</v>
      </c>
      <c r="F195" s="1" t="s">
        <v>35</v>
      </c>
      <c r="G195" s="9">
        <v>82612866</v>
      </c>
      <c r="H195" s="1">
        <v>95</v>
      </c>
      <c r="I195" s="1">
        <v>67</v>
      </c>
      <c r="J195" s="5">
        <v>48.1</v>
      </c>
      <c r="K195" s="1" t="s">
        <v>20</v>
      </c>
      <c r="L195" s="1" t="s">
        <v>19</v>
      </c>
      <c r="M195" s="10">
        <f t="shared" si="27"/>
        <v>1717523.2016632017</v>
      </c>
      <c r="N195" s="10">
        <f t="shared" si="28"/>
        <v>869609.11578947364</v>
      </c>
      <c r="O195" s="1">
        <f t="shared" ref="O195:O258" si="29">COUNTIFS($B$2:$B$1000, B195, $G$2:$G$1000, "&gt;"&amp;G195) + 1</f>
        <v>14</v>
      </c>
      <c r="P195" s="1">
        <f t="shared" ref="P195:P258" si="30">COUNTIFS($B$2:$B$1000, B195, $H$2:$H$1000, "&gt;"&amp;H195) + 1</f>
        <v>4</v>
      </c>
      <c r="Q195" s="1">
        <f t="shared" ref="Q195:Q258" si="31">O195-P195</f>
        <v>10</v>
      </c>
      <c r="R195" s="6">
        <f t="shared" ref="R195:R258" si="32">H195/(H195+I195)</f>
        <v>0.5864197530864198</v>
      </c>
      <c r="S195" s="8">
        <f t="shared" ref="S195:S258" si="33">_xlfn.FORECAST.LINEAR(G195, $H$2:$H$781, $G$2:$G$781)</f>
        <v>77.111821170149298</v>
      </c>
      <c r="T195" s="8">
        <f t="shared" ref="T195:T258" si="34">H195-S195</f>
        <v>17.888178829850702</v>
      </c>
      <c r="U195" t="str">
        <f t="shared" ref="U195:U258" si="35">IF(G195&lt;80000000,"Low",
 IF(G195&lt;150000000,"Mid","High"))</f>
        <v>Mid</v>
      </c>
    </row>
    <row r="196" spans="1:21">
      <c r="A196" s="1">
        <v>59</v>
      </c>
      <c r="B196" s="2">
        <v>2006</v>
      </c>
      <c r="C196" s="1" t="s">
        <v>24</v>
      </c>
      <c r="D196" s="1" t="s">
        <v>25</v>
      </c>
      <c r="E196" s="1" t="s">
        <v>26</v>
      </c>
      <c r="F196" s="1" t="s">
        <v>27</v>
      </c>
      <c r="G196" s="9">
        <v>72585582</v>
      </c>
      <c r="H196" s="1">
        <v>70</v>
      </c>
      <c r="I196" s="1">
        <v>92</v>
      </c>
      <c r="J196" s="5">
        <v>21.6</v>
      </c>
      <c r="K196" s="1" t="s">
        <v>19</v>
      </c>
      <c r="L196" s="1" t="s">
        <v>19</v>
      </c>
      <c r="M196" s="10">
        <f t="shared" si="27"/>
        <v>3360443.611111111</v>
      </c>
      <c r="N196" s="10">
        <f t="shared" si="28"/>
        <v>1036936.8857142857</v>
      </c>
      <c r="O196" s="1">
        <f t="shared" si="29"/>
        <v>15</v>
      </c>
      <c r="P196" s="1">
        <f t="shared" si="30"/>
        <v>26</v>
      </c>
      <c r="Q196" s="1">
        <f t="shared" si="31"/>
        <v>-11</v>
      </c>
      <c r="R196" s="6">
        <f t="shared" si="32"/>
        <v>0.43209876543209874</v>
      </c>
      <c r="S196" s="8">
        <f t="shared" si="33"/>
        <v>76.236388486387341</v>
      </c>
      <c r="T196" s="8">
        <f t="shared" si="34"/>
        <v>-6.2363884863873409</v>
      </c>
      <c r="U196" t="str">
        <f t="shared" si="35"/>
        <v>Low</v>
      </c>
    </row>
    <row r="197" spans="1:21">
      <c r="A197" s="1">
        <v>735</v>
      </c>
      <c r="B197" s="2">
        <v>2006</v>
      </c>
      <c r="C197" s="1" t="s">
        <v>81</v>
      </c>
      <c r="D197" s="1" t="s">
        <v>82</v>
      </c>
      <c r="E197" s="1" t="s">
        <v>26</v>
      </c>
      <c r="F197" s="1" t="s">
        <v>27</v>
      </c>
      <c r="G197" s="9">
        <v>71915000</v>
      </c>
      <c r="H197" s="1">
        <v>87</v>
      </c>
      <c r="I197" s="1">
        <v>75</v>
      </c>
      <c r="J197" s="5">
        <v>44.3</v>
      </c>
      <c r="K197" s="1" t="s">
        <v>19</v>
      </c>
      <c r="L197" s="1" t="s">
        <v>19</v>
      </c>
      <c r="M197" s="10">
        <f t="shared" si="27"/>
        <v>1623363.4311512415</v>
      </c>
      <c r="N197" s="10">
        <f t="shared" si="28"/>
        <v>826609.19540229882</v>
      </c>
      <c r="O197" s="1">
        <f t="shared" si="29"/>
        <v>16</v>
      </c>
      <c r="P197" s="1">
        <f t="shared" si="30"/>
        <v>10</v>
      </c>
      <c r="Q197" s="1">
        <f t="shared" si="31"/>
        <v>6</v>
      </c>
      <c r="R197" s="6">
        <f t="shared" si="32"/>
        <v>0.53703703703703709</v>
      </c>
      <c r="S197" s="8">
        <f t="shared" si="33"/>
        <v>76.177843281131118</v>
      </c>
      <c r="T197" s="8">
        <f t="shared" si="34"/>
        <v>10.822156718868882</v>
      </c>
      <c r="U197" t="str">
        <f t="shared" si="35"/>
        <v>Low</v>
      </c>
    </row>
    <row r="198" spans="1:21">
      <c r="A198" s="1">
        <v>579</v>
      </c>
      <c r="B198" s="2">
        <v>2006</v>
      </c>
      <c r="C198" s="1" t="s">
        <v>69</v>
      </c>
      <c r="D198" s="1" t="s">
        <v>70</v>
      </c>
      <c r="E198" s="1" t="s">
        <v>17</v>
      </c>
      <c r="F198" s="1" t="s">
        <v>18</v>
      </c>
      <c r="G198" s="9">
        <v>69896141</v>
      </c>
      <c r="H198" s="1">
        <v>88</v>
      </c>
      <c r="I198" s="1">
        <v>74</v>
      </c>
      <c r="J198" s="5">
        <v>36.200000000000003</v>
      </c>
      <c r="K198" s="1" t="s">
        <v>20</v>
      </c>
      <c r="L198" s="1" t="s">
        <v>19</v>
      </c>
      <c r="M198" s="10">
        <f t="shared" si="27"/>
        <v>1930832.6243093922</v>
      </c>
      <c r="N198" s="10">
        <f t="shared" si="28"/>
        <v>794274.32954545459</v>
      </c>
      <c r="O198" s="1">
        <f t="shared" si="29"/>
        <v>17</v>
      </c>
      <c r="P198" s="1">
        <f t="shared" si="30"/>
        <v>8</v>
      </c>
      <c r="Q198" s="1">
        <f t="shared" si="31"/>
        <v>9</v>
      </c>
      <c r="R198" s="6">
        <f t="shared" si="32"/>
        <v>0.54320987654320985</v>
      </c>
      <c r="S198" s="8">
        <f t="shared" si="33"/>
        <v>76.001586664433404</v>
      </c>
      <c r="T198" s="8">
        <f t="shared" si="34"/>
        <v>11.998413335566596</v>
      </c>
      <c r="U198" t="str">
        <f t="shared" si="35"/>
        <v>Low</v>
      </c>
    </row>
    <row r="199" spans="1:21">
      <c r="A199" s="1">
        <v>709</v>
      </c>
      <c r="B199" s="2">
        <v>2006</v>
      </c>
      <c r="C199" s="1" t="s">
        <v>79</v>
      </c>
      <c r="D199" s="1" t="s">
        <v>80</v>
      </c>
      <c r="E199" s="1" t="s">
        <v>26</v>
      </c>
      <c r="F199" s="1" t="s">
        <v>46</v>
      </c>
      <c r="G199" s="9">
        <v>68228662</v>
      </c>
      <c r="H199" s="1">
        <v>80</v>
      </c>
      <c r="I199" s="1">
        <v>82</v>
      </c>
      <c r="J199" s="5">
        <v>34.799999999999997</v>
      </c>
      <c r="K199" s="1" t="s">
        <v>19</v>
      </c>
      <c r="L199" s="1" t="s">
        <v>19</v>
      </c>
      <c r="M199" s="10">
        <f t="shared" si="27"/>
        <v>1960593.735632184</v>
      </c>
      <c r="N199" s="10">
        <f t="shared" si="28"/>
        <v>852858.27500000002</v>
      </c>
      <c r="O199" s="1">
        <f t="shared" si="29"/>
        <v>18</v>
      </c>
      <c r="P199" s="1">
        <f t="shared" si="30"/>
        <v>15</v>
      </c>
      <c r="Q199" s="1">
        <f t="shared" si="31"/>
        <v>3</v>
      </c>
      <c r="R199" s="6">
        <f t="shared" si="32"/>
        <v>0.49382716049382713</v>
      </c>
      <c r="S199" s="8">
        <f t="shared" si="33"/>
        <v>75.856007301558407</v>
      </c>
      <c r="T199" s="8">
        <f t="shared" si="34"/>
        <v>4.1439926984415933</v>
      </c>
      <c r="U199" t="str">
        <f t="shared" si="35"/>
        <v>Low</v>
      </c>
    </row>
    <row r="200" spans="1:21">
      <c r="A200" s="1">
        <v>423</v>
      </c>
      <c r="B200" s="2">
        <v>2006</v>
      </c>
      <c r="C200" s="1" t="s">
        <v>57</v>
      </c>
      <c r="D200" s="1" t="s">
        <v>58</v>
      </c>
      <c r="E200" s="1" t="s">
        <v>26</v>
      </c>
      <c r="F200" s="1" t="s">
        <v>35</v>
      </c>
      <c r="G200" s="9">
        <v>63396006</v>
      </c>
      <c r="H200" s="1">
        <v>96</v>
      </c>
      <c r="I200" s="1">
        <v>66</v>
      </c>
      <c r="J200" s="5">
        <v>53.8</v>
      </c>
      <c r="K200" s="1" t="s">
        <v>20</v>
      </c>
      <c r="L200" s="1" t="s">
        <v>19</v>
      </c>
      <c r="M200" s="10">
        <f t="shared" si="27"/>
        <v>1178364.4237918216</v>
      </c>
      <c r="N200" s="10">
        <f t="shared" si="28"/>
        <v>660375.0625</v>
      </c>
      <c r="O200" s="1">
        <f t="shared" si="29"/>
        <v>19</v>
      </c>
      <c r="P200" s="1">
        <f t="shared" si="30"/>
        <v>3</v>
      </c>
      <c r="Q200" s="1">
        <f t="shared" si="31"/>
        <v>16</v>
      </c>
      <c r="R200" s="6">
        <f t="shared" si="32"/>
        <v>0.59259259259259256</v>
      </c>
      <c r="S200" s="8">
        <f t="shared" si="33"/>
        <v>75.434091954214267</v>
      </c>
      <c r="T200" s="8">
        <f t="shared" si="34"/>
        <v>20.565908045785733</v>
      </c>
      <c r="U200" t="str">
        <f t="shared" si="35"/>
        <v>Low</v>
      </c>
    </row>
    <row r="201" spans="1:21">
      <c r="A201" s="1">
        <v>761</v>
      </c>
      <c r="B201" s="2">
        <v>2006</v>
      </c>
      <c r="C201" s="1" t="s">
        <v>83</v>
      </c>
      <c r="D201" s="1" t="s">
        <v>84</v>
      </c>
      <c r="E201" s="1" t="s">
        <v>17</v>
      </c>
      <c r="F201" s="1" t="s">
        <v>23</v>
      </c>
      <c r="G201" s="9">
        <v>63143000</v>
      </c>
      <c r="H201" s="1">
        <v>71</v>
      </c>
      <c r="I201" s="1">
        <v>91</v>
      </c>
      <c r="J201" s="5">
        <v>26.1</v>
      </c>
      <c r="K201" s="1" t="s">
        <v>19</v>
      </c>
      <c r="L201" s="1" t="s">
        <v>19</v>
      </c>
      <c r="M201" s="10">
        <f t="shared" si="27"/>
        <v>2419272.0306513407</v>
      </c>
      <c r="N201" s="10">
        <f t="shared" si="28"/>
        <v>889338.02816901414</v>
      </c>
      <c r="O201" s="1">
        <f t="shared" si="29"/>
        <v>20</v>
      </c>
      <c r="P201" s="1">
        <f t="shared" si="30"/>
        <v>25</v>
      </c>
      <c r="Q201" s="1">
        <f t="shared" si="31"/>
        <v>-5</v>
      </c>
      <c r="R201" s="6">
        <f t="shared" si="32"/>
        <v>0.43827160493827161</v>
      </c>
      <c r="S201" s="8">
        <f t="shared" si="33"/>
        <v>75.412003248879117</v>
      </c>
      <c r="T201" s="8">
        <f t="shared" si="34"/>
        <v>-4.4120032488791168</v>
      </c>
      <c r="U201" t="str">
        <f t="shared" si="35"/>
        <v>Low</v>
      </c>
    </row>
    <row r="202" spans="1:21">
      <c r="A202" s="1">
        <v>501</v>
      </c>
      <c r="B202" s="2">
        <v>2006</v>
      </c>
      <c r="C202" s="1" t="s">
        <v>63</v>
      </c>
      <c r="D202" s="1" t="s">
        <v>64</v>
      </c>
      <c r="E202" s="1" t="s">
        <v>26</v>
      </c>
      <c r="F202" s="1" t="s">
        <v>46</v>
      </c>
      <c r="G202" s="9">
        <v>62243079</v>
      </c>
      <c r="H202" s="1">
        <v>93</v>
      </c>
      <c r="I202" s="1">
        <v>69</v>
      </c>
      <c r="J202" s="5">
        <v>41.7</v>
      </c>
      <c r="K202" s="1" t="s">
        <v>20</v>
      </c>
      <c r="L202" s="1" t="s">
        <v>19</v>
      </c>
      <c r="M202" s="10">
        <f t="shared" si="27"/>
        <v>1492639.7841726618</v>
      </c>
      <c r="N202" s="10">
        <f t="shared" si="28"/>
        <v>669280.41935483867</v>
      </c>
      <c r="O202" s="1">
        <f t="shared" si="29"/>
        <v>21</v>
      </c>
      <c r="P202" s="1">
        <f t="shared" si="30"/>
        <v>5</v>
      </c>
      <c r="Q202" s="1">
        <f t="shared" si="31"/>
        <v>16</v>
      </c>
      <c r="R202" s="6">
        <f t="shared" si="32"/>
        <v>0.57407407407407407</v>
      </c>
      <c r="S202" s="8">
        <f t="shared" si="33"/>
        <v>75.333435587266678</v>
      </c>
      <c r="T202" s="8">
        <f t="shared" si="34"/>
        <v>17.666564412733322</v>
      </c>
      <c r="U202" t="str">
        <f t="shared" si="35"/>
        <v>Low</v>
      </c>
    </row>
    <row r="203" spans="1:21">
      <c r="A203" s="1">
        <v>163</v>
      </c>
      <c r="B203" s="2">
        <v>2006</v>
      </c>
      <c r="C203" s="1" t="s">
        <v>36</v>
      </c>
      <c r="D203" s="1" t="s">
        <v>37</v>
      </c>
      <c r="E203" s="1" t="s">
        <v>17</v>
      </c>
      <c r="F203" s="1" t="s">
        <v>32</v>
      </c>
      <c r="G203" s="9">
        <v>60909519</v>
      </c>
      <c r="H203" s="1">
        <v>80</v>
      </c>
      <c r="I203" s="1">
        <v>82</v>
      </c>
      <c r="J203" s="5">
        <v>32.799999999999997</v>
      </c>
      <c r="K203" s="1" t="s">
        <v>19</v>
      </c>
      <c r="L203" s="1" t="s">
        <v>19</v>
      </c>
      <c r="M203" s="10">
        <f t="shared" si="27"/>
        <v>1856997.5304878051</v>
      </c>
      <c r="N203" s="10">
        <f t="shared" si="28"/>
        <v>761368.98750000005</v>
      </c>
      <c r="O203" s="1">
        <f t="shared" si="29"/>
        <v>22</v>
      </c>
      <c r="P203" s="1">
        <f t="shared" si="30"/>
        <v>15</v>
      </c>
      <c r="Q203" s="1">
        <f t="shared" si="31"/>
        <v>7</v>
      </c>
      <c r="R203" s="6">
        <f t="shared" si="32"/>
        <v>0.49382716049382713</v>
      </c>
      <c r="S203" s="8">
        <f t="shared" si="33"/>
        <v>75.217009044470288</v>
      </c>
      <c r="T203" s="8">
        <f t="shared" si="34"/>
        <v>4.7829909555297121</v>
      </c>
      <c r="U203" t="str">
        <f t="shared" si="35"/>
        <v>Low</v>
      </c>
    </row>
    <row r="204" spans="1:21">
      <c r="A204" s="1">
        <v>7</v>
      </c>
      <c r="B204" s="2">
        <v>2006</v>
      </c>
      <c r="C204" s="1" t="s">
        <v>15</v>
      </c>
      <c r="D204" s="1" t="s">
        <v>16</v>
      </c>
      <c r="E204" s="1" t="s">
        <v>17</v>
      </c>
      <c r="F204" s="1" t="s">
        <v>18</v>
      </c>
      <c r="G204" s="9">
        <v>59684226</v>
      </c>
      <c r="H204" s="1">
        <v>76</v>
      </c>
      <c r="I204" s="1">
        <v>86</v>
      </c>
      <c r="J204" s="5">
        <v>33.4</v>
      </c>
      <c r="K204" s="1" t="s">
        <v>19</v>
      </c>
      <c r="L204" s="1" t="s">
        <v>19</v>
      </c>
      <c r="M204" s="10">
        <f t="shared" si="27"/>
        <v>1786952.874251497</v>
      </c>
      <c r="N204" s="10">
        <f t="shared" si="28"/>
        <v>785318.76315789472</v>
      </c>
      <c r="O204" s="1">
        <f t="shared" si="29"/>
        <v>23</v>
      </c>
      <c r="P204" s="1">
        <f t="shared" si="30"/>
        <v>21</v>
      </c>
      <c r="Q204" s="1">
        <f t="shared" si="31"/>
        <v>2</v>
      </c>
      <c r="R204" s="6">
        <f t="shared" si="32"/>
        <v>0.46913580246913578</v>
      </c>
      <c r="S204" s="8">
        <f t="shared" si="33"/>
        <v>75.110034759171825</v>
      </c>
      <c r="T204" s="8">
        <f t="shared" si="34"/>
        <v>0.8899652408281753</v>
      </c>
      <c r="U204" t="str">
        <f t="shared" si="35"/>
        <v>Low</v>
      </c>
    </row>
    <row r="205" spans="1:21">
      <c r="A205" s="1">
        <v>397</v>
      </c>
      <c r="B205" s="2">
        <v>2006</v>
      </c>
      <c r="C205" s="1" t="s">
        <v>55</v>
      </c>
      <c r="D205" s="1" t="s">
        <v>56</v>
      </c>
      <c r="E205" s="1" t="s">
        <v>17</v>
      </c>
      <c r="F205" s="1" t="s">
        <v>32</v>
      </c>
      <c r="G205" s="9">
        <v>57568333</v>
      </c>
      <c r="H205" s="1">
        <v>75</v>
      </c>
      <c r="I205" s="1">
        <v>87</v>
      </c>
      <c r="J205" s="5">
        <v>29.4</v>
      </c>
      <c r="K205" s="1" t="s">
        <v>19</v>
      </c>
      <c r="L205" s="1" t="s">
        <v>19</v>
      </c>
      <c r="M205" s="10">
        <f t="shared" si="27"/>
        <v>1958106.5646258504</v>
      </c>
      <c r="N205" s="10">
        <f t="shared" si="28"/>
        <v>767577.77333333332</v>
      </c>
      <c r="O205" s="1">
        <f t="shared" si="29"/>
        <v>24</v>
      </c>
      <c r="P205" s="1">
        <f t="shared" si="30"/>
        <v>24</v>
      </c>
      <c r="Q205" s="1">
        <f t="shared" si="31"/>
        <v>0</v>
      </c>
      <c r="R205" s="6">
        <f t="shared" si="32"/>
        <v>0.46296296296296297</v>
      </c>
      <c r="S205" s="8">
        <f t="shared" si="33"/>
        <v>74.925306582773985</v>
      </c>
      <c r="T205" s="8">
        <f t="shared" si="34"/>
        <v>7.4693417226015413E-2</v>
      </c>
      <c r="U205" t="str">
        <f t="shared" si="35"/>
        <v>Low</v>
      </c>
    </row>
    <row r="206" spans="1:21">
      <c r="A206" s="1">
        <v>189</v>
      </c>
      <c r="B206" s="2">
        <v>2006</v>
      </c>
      <c r="C206" s="1" t="s">
        <v>38</v>
      </c>
      <c r="D206" s="1" t="s">
        <v>39</v>
      </c>
      <c r="E206" s="1" t="s">
        <v>26</v>
      </c>
      <c r="F206" s="1" t="s">
        <v>35</v>
      </c>
      <c r="G206" s="9">
        <v>56031500</v>
      </c>
      <c r="H206" s="1">
        <v>78</v>
      </c>
      <c r="I206" s="1">
        <v>84</v>
      </c>
      <c r="J206" s="5">
        <v>42.5</v>
      </c>
      <c r="K206" s="1" t="s">
        <v>19</v>
      </c>
      <c r="L206" s="1" t="s">
        <v>19</v>
      </c>
      <c r="M206" s="10">
        <f t="shared" si="27"/>
        <v>1318388.2352941176</v>
      </c>
      <c r="N206" s="10">
        <f t="shared" si="28"/>
        <v>718352.56410256412</v>
      </c>
      <c r="O206" s="1">
        <f t="shared" si="29"/>
        <v>25</v>
      </c>
      <c r="P206" s="1">
        <f t="shared" si="30"/>
        <v>18</v>
      </c>
      <c r="Q206" s="1">
        <f t="shared" si="31"/>
        <v>7</v>
      </c>
      <c r="R206" s="6">
        <f t="shared" si="32"/>
        <v>0.48148148148148145</v>
      </c>
      <c r="S206" s="8">
        <f t="shared" si="33"/>
        <v>74.791133277451834</v>
      </c>
      <c r="T206" s="8">
        <f t="shared" si="34"/>
        <v>3.2088667225481657</v>
      </c>
      <c r="U206" t="str">
        <f t="shared" si="35"/>
        <v>Low</v>
      </c>
    </row>
    <row r="207" spans="1:21">
      <c r="A207" s="1">
        <v>293</v>
      </c>
      <c r="B207" s="2">
        <v>2006</v>
      </c>
      <c r="C207" s="1" t="s">
        <v>47</v>
      </c>
      <c r="D207" s="1" t="s">
        <v>48</v>
      </c>
      <c r="E207" s="1" t="s">
        <v>26</v>
      </c>
      <c r="F207" s="1" t="s">
        <v>35</v>
      </c>
      <c r="G207" s="9">
        <v>47294000</v>
      </c>
      <c r="H207" s="1">
        <v>62</v>
      </c>
      <c r="I207" s="1">
        <v>100</v>
      </c>
      <c r="J207" s="5">
        <v>35.200000000000003</v>
      </c>
      <c r="K207" s="1" t="s">
        <v>19</v>
      </c>
      <c r="L207" s="1" t="s">
        <v>19</v>
      </c>
      <c r="M207" s="10">
        <f t="shared" si="27"/>
        <v>1343579.5454545454</v>
      </c>
      <c r="N207" s="10">
        <f t="shared" si="28"/>
        <v>762806.45161290327</v>
      </c>
      <c r="O207" s="1">
        <f t="shared" si="29"/>
        <v>26</v>
      </c>
      <c r="P207" s="1">
        <f t="shared" si="30"/>
        <v>29</v>
      </c>
      <c r="Q207" s="1">
        <f t="shared" si="31"/>
        <v>-3</v>
      </c>
      <c r="R207" s="6">
        <f t="shared" si="32"/>
        <v>0.38271604938271603</v>
      </c>
      <c r="S207" s="8">
        <f t="shared" si="33"/>
        <v>74.028305269950494</v>
      </c>
      <c r="T207" s="8">
        <f t="shared" si="34"/>
        <v>-12.028305269950494</v>
      </c>
      <c r="U207" t="str">
        <f t="shared" si="35"/>
        <v>Low</v>
      </c>
    </row>
    <row r="208" spans="1:21">
      <c r="A208" s="1">
        <v>553</v>
      </c>
      <c r="B208" s="2">
        <v>2006</v>
      </c>
      <c r="C208" s="1" t="s">
        <v>67</v>
      </c>
      <c r="D208" s="1" t="s">
        <v>68</v>
      </c>
      <c r="E208" s="1" t="s">
        <v>17</v>
      </c>
      <c r="F208" s="1" t="s">
        <v>32</v>
      </c>
      <c r="G208" s="9">
        <v>46717750</v>
      </c>
      <c r="H208" s="1">
        <v>67</v>
      </c>
      <c r="I208" s="1">
        <v>95</v>
      </c>
      <c r="J208" s="5">
        <v>19.100000000000001</v>
      </c>
      <c r="K208" s="1" t="s">
        <v>19</v>
      </c>
      <c r="L208" s="1" t="s">
        <v>19</v>
      </c>
      <c r="M208" s="10">
        <f t="shared" si="27"/>
        <v>2445955.4973821989</v>
      </c>
      <c r="N208" s="10">
        <f t="shared" si="28"/>
        <v>697279.85074626864</v>
      </c>
      <c r="O208" s="1">
        <f t="shared" si="29"/>
        <v>27</v>
      </c>
      <c r="P208" s="1">
        <f t="shared" si="30"/>
        <v>27</v>
      </c>
      <c r="Q208" s="1">
        <f t="shared" si="31"/>
        <v>0</v>
      </c>
      <c r="R208" s="6">
        <f t="shared" si="32"/>
        <v>0.41358024691358025</v>
      </c>
      <c r="S208" s="8">
        <f t="shared" si="33"/>
        <v>73.977995726108119</v>
      </c>
      <c r="T208" s="8">
        <f t="shared" si="34"/>
        <v>-6.9779957261081194</v>
      </c>
      <c r="U208" t="str">
        <f t="shared" si="35"/>
        <v>Low</v>
      </c>
    </row>
    <row r="209" spans="1:21">
      <c r="A209" s="1">
        <v>215</v>
      </c>
      <c r="B209" s="2">
        <v>2006</v>
      </c>
      <c r="C209" s="1" t="s">
        <v>40</v>
      </c>
      <c r="D209" s="1" t="s">
        <v>41</v>
      </c>
      <c r="E209" s="1" t="s">
        <v>17</v>
      </c>
      <c r="F209" s="1" t="s">
        <v>18</v>
      </c>
      <c r="G209" s="9">
        <v>41233000</v>
      </c>
      <c r="H209" s="1">
        <v>76</v>
      </c>
      <c r="I209" s="1">
        <v>86</v>
      </c>
      <c r="J209" s="5">
        <v>29.7</v>
      </c>
      <c r="K209" s="1" t="s">
        <v>19</v>
      </c>
      <c r="L209" s="1" t="s">
        <v>19</v>
      </c>
      <c r="M209" s="10">
        <f t="shared" si="27"/>
        <v>1388316.4983164982</v>
      </c>
      <c r="N209" s="10">
        <f t="shared" si="28"/>
        <v>542539.47368421056</v>
      </c>
      <c r="O209" s="1">
        <f t="shared" si="29"/>
        <v>28</v>
      </c>
      <c r="P209" s="1">
        <f t="shared" si="30"/>
        <v>21</v>
      </c>
      <c r="Q209" s="1">
        <f t="shared" si="31"/>
        <v>7</v>
      </c>
      <c r="R209" s="6">
        <f t="shared" si="32"/>
        <v>0.46913580246913578</v>
      </c>
      <c r="S209" s="8">
        <f t="shared" si="33"/>
        <v>73.49914926955384</v>
      </c>
      <c r="T209" s="8">
        <f t="shared" si="34"/>
        <v>2.5008507304461602</v>
      </c>
      <c r="U209" t="str">
        <f t="shared" si="35"/>
        <v>Low</v>
      </c>
    </row>
    <row r="210" spans="1:21">
      <c r="A210" s="1">
        <v>683</v>
      </c>
      <c r="B210" s="2">
        <v>2006</v>
      </c>
      <c r="C210" s="1" t="s">
        <v>77</v>
      </c>
      <c r="D210" s="1" t="s">
        <v>78</v>
      </c>
      <c r="E210" s="1" t="s">
        <v>26</v>
      </c>
      <c r="F210" s="1" t="s">
        <v>27</v>
      </c>
      <c r="G210" s="9">
        <v>35417967</v>
      </c>
      <c r="H210" s="1">
        <v>61</v>
      </c>
      <c r="I210" s="1">
        <v>101</v>
      </c>
      <c r="J210" s="5">
        <v>24.5</v>
      </c>
      <c r="K210" s="1" t="s">
        <v>19</v>
      </c>
      <c r="L210" s="1" t="s">
        <v>19</v>
      </c>
      <c r="M210" s="10">
        <f t="shared" si="27"/>
        <v>1445631.306122449</v>
      </c>
      <c r="N210" s="10">
        <f t="shared" si="28"/>
        <v>580622.40983606561</v>
      </c>
      <c r="O210" s="1">
        <f t="shared" si="29"/>
        <v>29</v>
      </c>
      <c r="P210" s="1">
        <f t="shared" si="30"/>
        <v>30</v>
      </c>
      <c r="Q210" s="1">
        <f t="shared" si="31"/>
        <v>-1</v>
      </c>
      <c r="R210" s="6">
        <f t="shared" si="32"/>
        <v>0.37654320987654322</v>
      </c>
      <c r="S210" s="8">
        <f t="shared" si="33"/>
        <v>72.991467434138158</v>
      </c>
      <c r="T210" s="8">
        <f t="shared" si="34"/>
        <v>-11.991467434138158</v>
      </c>
      <c r="U210" t="str">
        <f t="shared" si="35"/>
        <v>Low</v>
      </c>
    </row>
    <row r="211" spans="1:21">
      <c r="A211" s="1">
        <v>371</v>
      </c>
      <c r="B211" s="2">
        <v>2006</v>
      </c>
      <c r="C211" s="1" t="s">
        <v>53</v>
      </c>
      <c r="D211" s="1" t="s">
        <v>54</v>
      </c>
      <c r="E211" s="1" t="s">
        <v>17</v>
      </c>
      <c r="F211" s="1" t="s">
        <v>23</v>
      </c>
      <c r="G211" s="9">
        <v>14998500</v>
      </c>
      <c r="H211" s="1">
        <v>78</v>
      </c>
      <c r="I211" s="1">
        <v>84</v>
      </c>
      <c r="J211" s="5">
        <v>41.2</v>
      </c>
      <c r="K211" s="1" t="s">
        <v>19</v>
      </c>
      <c r="L211" s="1" t="s">
        <v>19</v>
      </c>
      <c r="M211" s="10">
        <f t="shared" si="27"/>
        <v>364041.26213592233</v>
      </c>
      <c r="N211" s="10">
        <f t="shared" si="28"/>
        <v>192288.46153846153</v>
      </c>
      <c r="O211" s="1">
        <f t="shared" si="29"/>
        <v>30</v>
      </c>
      <c r="P211" s="1">
        <f t="shared" si="30"/>
        <v>18</v>
      </c>
      <c r="Q211" s="1">
        <f t="shared" si="31"/>
        <v>12</v>
      </c>
      <c r="R211" s="6">
        <f t="shared" si="32"/>
        <v>0.48148148148148145</v>
      </c>
      <c r="S211" s="8">
        <f t="shared" si="33"/>
        <v>71.208744535614599</v>
      </c>
      <c r="T211" s="8">
        <f t="shared" si="34"/>
        <v>6.7912554643854008</v>
      </c>
      <c r="U211" t="str">
        <f t="shared" si="35"/>
        <v>Low</v>
      </c>
    </row>
    <row r="212" spans="1:21">
      <c r="A212" s="1">
        <v>476</v>
      </c>
      <c r="B212" s="2">
        <v>2007</v>
      </c>
      <c r="C212" s="1" t="s">
        <v>61</v>
      </c>
      <c r="D212" s="1" t="s">
        <v>62</v>
      </c>
      <c r="E212" s="1" t="s">
        <v>26</v>
      </c>
      <c r="F212" s="1" t="s">
        <v>27</v>
      </c>
      <c r="G212" s="9">
        <v>218311394</v>
      </c>
      <c r="H212" s="1">
        <v>94</v>
      </c>
      <c r="I212" s="1">
        <v>68</v>
      </c>
      <c r="J212" s="5">
        <v>51.8</v>
      </c>
      <c r="K212" s="1" t="s">
        <v>20</v>
      </c>
      <c r="L212" s="1" t="s">
        <v>19</v>
      </c>
      <c r="M212" s="10">
        <f t="shared" si="27"/>
        <v>4214505.6756756762</v>
      </c>
      <c r="N212" s="10">
        <f t="shared" si="28"/>
        <v>2322461.6382978722</v>
      </c>
      <c r="O212" s="1">
        <f t="shared" si="29"/>
        <v>1</v>
      </c>
      <c r="P212" s="1">
        <f t="shared" si="30"/>
        <v>3</v>
      </c>
      <c r="Q212" s="1">
        <f t="shared" si="31"/>
        <v>-2</v>
      </c>
      <c r="R212" s="6">
        <f t="shared" si="32"/>
        <v>0.58024691358024694</v>
      </c>
      <c r="S212" s="8">
        <f t="shared" si="33"/>
        <v>88.958990009646413</v>
      </c>
      <c r="T212" s="8">
        <f t="shared" si="34"/>
        <v>5.0410099903535865</v>
      </c>
      <c r="U212" t="str">
        <f t="shared" si="35"/>
        <v>High</v>
      </c>
    </row>
    <row r="213" spans="1:21">
      <c r="A213" s="1">
        <v>86</v>
      </c>
      <c r="B213" s="2">
        <v>2007</v>
      </c>
      <c r="C213" s="1" t="s">
        <v>28</v>
      </c>
      <c r="D213" s="1" t="s">
        <v>29</v>
      </c>
      <c r="E213" s="1" t="s">
        <v>26</v>
      </c>
      <c r="F213" s="1" t="s">
        <v>27</v>
      </c>
      <c r="G213" s="9">
        <v>155402595</v>
      </c>
      <c r="H213" s="1">
        <v>96</v>
      </c>
      <c r="I213" s="1">
        <v>66</v>
      </c>
      <c r="J213" s="5">
        <v>55.6</v>
      </c>
      <c r="K213" s="1" t="s">
        <v>20</v>
      </c>
      <c r="L213" s="1" t="s">
        <v>20</v>
      </c>
      <c r="M213" s="10">
        <f t="shared" si="27"/>
        <v>2795010.7014388489</v>
      </c>
      <c r="N213" s="10">
        <f t="shared" si="28"/>
        <v>1618777.03125</v>
      </c>
      <c r="O213" s="1">
        <f t="shared" si="29"/>
        <v>2</v>
      </c>
      <c r="P213" s="1">
        <f t="shared" si="30"/>
        <v>1</v>
      </c>
      <c r="Q213" s="1">
        <f t="shared" si="31"/>
        <v>1</v>
      </c>
      <c r="R213" s="6">
        <f t="shared" si="32"/>
        <v>0.59259259259259256</v>
      </c>
      <c r="S213" s="8">
        <f t="shared" si="33"/>
        <v>83.466733209020049</v>
      </c>
      <c r="T213" s="8">
        <f t="shared" si="34"/>
        <v>12.533266790979951</v>
      </c>
      <c r="U213" t="str">
        <f t="shared" si="35"/>
        <v>High</v>
      </c>
    </row>
    <row r="214" spans="1:21">
      <c r="A214" s="1">
        <v>346</v>
      </c>
      <c r="B214" s="2">
        <v>2007</v>
      </c>
      <c r="C214" s="1" t="s">
        <v>51</v>
      </c>
      <c r="D214" s="1" t="s">
        <v>52</v>
      </c>
      <c r="E214" s="1" t="s">
        <v>17</v>
      </c>
      <c r="F214" s="1" t="s">
        <v>18</v>
      </c>
      <c r="G214" s="9">
        <v>125581316</v>
      </c>
      <c r="H214" s="1">
        <v>82</v>
      </c>
      <c r="I214" s="1">
        <v>80</v>
      </c>
      <c r="J214" s="5">
        <v>44.9</v>
      </c>
      <c r="K214" s="1" t="s">
        <v>19</v>
      </c>
      <c r="L214" s="1" t="s">
        <v>19</v>
      </c>
      <c r="M214" s="10">
        <f t="shared" si="27"/>
        <v>2796911.2694877507</v>
      </c>
      <c r="N214" s="10">
        <f t="shared" si="28"/>
        <v>1531479.4634146341</v>
      </c>
      <c r="O214" s="1">
        <f t="shared" si="29"/>
        <v>3</v>
      </c>
      <c r="P214" s="1">
        <f t="shared" si="30"/>
        <v>16</v>
      </c>
      <c r="Q214" s="1">
        <f t="shared" si="31"/>
        <v>-13</v>
      </c>
      <c r="R214" s="6">
        <f t="shared" si="32"/>
        <v>0.50617283950617287</v>
      </c>
      <c r="S214" s="8">
        <f t="shared" si="33"/>
        <v>80.863184500497951</v>
      </c>
      <c r="T214" s="8">
        <f t="shared" si="34"/>
        <v>1.136815499502049</v>
      </c>
      <c r="U214" t="str">
        <f t="shared" si="35"/>
        <v>Mid</v>
      </c>
    </row>
    <row r="215" spans="1:21">
      <c r="A215" s="1">
        <v>450</v>
      </c>
      <c r="B215" s="2">
        <v>2007</v>
      </c>
      <c r="C215" s="1" t="s">
        <v>59</v>
      </c>
      <c r="D215" s="1" t="s">
        <v>60</v>
      </c>
      <c r="E215" s="1" t="s">
        <v>17</v>
      </c>
      <c r="F215" s="1" t="s">
        <v>23</v>
      </c>
      <c r="G215" s="9">
        <v>120927727</v>
      </c>
      <c r="H215" s="1">
        <v>88</v>
      </c>
      <c r="I215" s="1">
        <v>74</v>
      </c>
      <c r="J215" s="5">
        <v>45.2</v>
      </c>
      <c r="K215" s="1" t="s">
        <v>19</v>
      </c>
      <c r="L215" s="1" t="s">
        <v>19</v>
      </c>
      <c r="M215" s="10">
        <f t="shared" si="27"/>
        <v>2675392.1902654865</v>
      </c>
      <c r="N215" s="10">
        <f t="shared" si="28"/>
        <v>1374178.7159090908</v>
      </c>
      <c r="O215" s="1">
        <f t="shared" si="29"/>
        <v>4</v>
      </c>
      <c r="P215" s="1">
        <f t="shared" si="30"/>
        <v>9</v>
      </c>
      <c r="Q215" s="1">
        <f t="shared" si="31"/>
        <v>-5</v>
      </c>
      <c r="R215" s="6">
        <f t="shared" si="32"/>
        <v>0.54320987654320985</v>
      </c>
      <c r="S215" s="8">
        <f t="shared" si="33"/>
        <v>80.456902609270458</v>
      </c>
      <c r="T215" s="8">
        <f t="shared" si="34"/>
        <v>7.5430973907295424</v>
      </c>
      <c r="U215" t="str">
        <f t="shared" si="35"/>
        <v>Mid</v>
      </c>
    </row>
    <row r="216" spans="1:21">
      <c r="A216" s="1">
        <v>112</v>
      </c>
      <c r="B216" s="2">
        <v>2007</v>
      </c>
      <c r="C216" s="1" t="s">
        <v>30</v>
      </c>
      <c r="D216" s="1" t="s">
        <v>31</v>
      </c>
      <c r="E216" s="1" t="s">
        <v>17</v>
      </c>
      <c r="F216" s="1" t="s">
        <v>32</v>
      </c>
      <c r="G216" s="9">
        <v>115943318</v>
      </c>
      <c r="H216" s="1">
        <v>85</v>
      </c>
      <c r="I216" s="1">
        <v>77</v>
      </c>
      <c r="J216" s="5">
        <v>39.5</v>
      </c>
      <c r="K216" s="1" t="s">
        <v>20</v>
      </c>
      <c r="L216" s="1" t="s">
        <v>19</v>
      </c>
      <c r="M216" s="10">
        <f t="shared" si="27"/>
        <v>2935273.8734177216</v>
      </c>
      <c r="N216" s="10">
        <f t="shared" si="28"/>
        <v>1364039.0352941176</v>
      </c>
      <c r="O216" s="1">
        <f t="shared" si="29"/>
        <v>5</v>
      </c>
      <c r="P216" s="1">
        <f t="shared" si="30"/>
        <v>12</v>
      </c>
      <c r="Q216" s="1">
        <f t="shared" si="31"/>
        <v>-7</v>
      </c>
      <c r="R216" s="6">
        <f t="shared" si="32"/>
        <v>0.52469135802469136</v>
      </c>
      <c r="S216" s="8">
        <f t="shared" si="33"/>
        <v>80.021738456361533</v>
      </c>
      <c r="T216" s="8">
        <f t="shared" si="34"/>
        <v>4.9782615436384674</v>
      </c>
      <c r="U216" t="str">
        <f t="shared" si="35"/>
        <v>Mid</v>
      </c>
    </row>
    <row r="217" spans="1:21">
      <c r="A217" s="1">
        <v>632</v>
      </c>
      <c r="B217" s="2">
        <v>2007</v>
      </c>
      <c r="C217" s="1" t="s">
        <v>73</v>
      </c>
      <c r="D217" s="1" t="s">
        <v>74</v>
      </c>
      <c r="E217" s="1" t="s">
        <v>26</v>
      </c>
      <c r="F217" s="1" t="s">
        <v>46</v>
      </c>
      <c r="G217" s="9">
        <v>114367309</v>
      </c>
      <c r="H217" s="1">
        <v>88</v>
      </c>
      <c r="I217" s="1">
        <v>74</v>
      </c>
      <c r="J217" s="5">
        <v>37.6</v>
      </c>
      <c r="K217" s="1" t="s">
        <v>19</v>
      </c>
      <c r="L217" s="1" t="s">
        <v>19</v>
      </c>
      <c r="M217" s="10">
        <f t="shared" si="27"/>
        <v>3041683.75</v>
      </c>
      <c r="N217" s="10">
        <f t="shared" si="28"/>
        <v>1299628.5113636365</v>
      </c>
      <c r="O217" s="1">
        <f t="shared" si="29"/>
        <v>6</v>
      </c>
      <c r="P217" s="1">
        <f t="shared" si="30"/>
        <v>9</v>
      </c>
      <c r="Q217" s="1">
        <f t="shared" si="31"/>
        <v>-3</v>
      </c>
      <c r="R217" s="6">
        <f t="shared" si="32"/>
        <v>0.54320987654320985</v>
      </c>
      <c r="S217" s="8">
        <f t="shared" si="33"/>
        <v>79.884144887803686</v>
      </c>
      <c r="T217" s="8">
        <f t="shared" si="34"/>
        <v>8.1158551121963143</v>
      </c>
      <c r="U217" t="str">
        <f t="shared" si="35"/>
        <v>Mid</v>
      </c>
    </row>
    <row r="218" spans="1:21">
      <c r="A218" s="1">
        <v>320</v>
      </c>
      <c r="B218" s="2">
        <v>2007</v>
      </c>
      <c r="C218" s="1" t="s">
        <v>49</v>
      </c>
      <c r="D218" s="1" t="s">
        <v>50</v>
      </c>
      <c r="E218" s="1" t="s">
        <v>26</v>
      </c>
      <c r="F218" s="1" t="s">
        <v>46</v>
      </c>
      <c r="G218" s="9">
        <v>111038577</v>
      </c>
      <c r="H218" s="1">
        <v>94</v>
      </c>
      <c r="I218" s="1">
        <v>68</v>
      </c>
      <c r="J218" s="5">
        <v>23.9</v>
      </c>
      <c r="K218" s="1" t="s">
        <v>20</v>
      </c>
      <c r="L218" s="1" t="s">
        <v>19</v>
      </c>
      <c r="M218" s="10">
        <f t="shared" si="27"/>
        <v>4645965.5648535565</v>
      </c>
      <c r="N218" s="10">
        <f t="shared" si="28"/>
        <v>1181261.4574468085</v>
      </c>
      <c r="O218" s="1">
        <f t="shared" si="29"/>
        <v>7</v>
      </c>
      <c r="P218" s="1">
        <f t="shared" si="30"/>
        <v>3</v>
      </c>
      <c r="Q218" s="1">
        <f t="shared" si="31"/>
        <v>4</v>
      </c>
      <c r="R218" s="6">
        <f t="shared" si="32"/>
        <v>0.58024691358024694</v>
      </c>
      <c r="S218" s="8">
        <f t="shared" si="33"/>
        <v>79.593529723389835</v>
      </c>
      <c r="T218" s="8">
        <f t="shared" si="34"/>
        <v>14.406470276610165</v>
      </c>
      <c r="U218" t="str">
        <f t="shared" si="35"/>
        <v>Mid</v>
      </c>
    </row>
    <row r="219" spans="1:21">
      <c r="A219" s="1">
        <v>528</v>
      </c>
      <c r="B219" s="2">
        <v>2007</v>
      </c>
      <c r="C219" s="1" t="s">
        <v>65</v>
      </c>
      <c r="D219" s="1" t="s">
        <v>66</v>
      </c>
      <c r="E219" s="1" t="s">
        <v>17</v>
      </c>
      <c r="F219" s="1" t="s">
        <v>23</v>
      </c>
      <c r="G219" s="9">
        <v>101823122</v>
      </c>
      <c r="H219" s="1">
        <v>89</v>
      </c>
      <c r="I219" s="1">
        <v>73</v>
      </c>
      <c r="J219" s="5">
        <v>44.8</v>
      </c>
      <c r="K219" s="1" t="s">
        <v>20</v>
      </c>
      <c r="L219" s="1" t="s">
        <v>19</v>
      </c>
      <c r="M219" s="10">
        <f t="shared" si="27"/>
        <v>2272837.5446428573</v>
      </c>
      <c r="N219" s="10">
        <f t="shared" si="28"/>
        <v>1144080.0224719101</v>
      </c>
      <c r="O219" s="1">
        <f t="shared" si="29"/>
        <v>8</v>
      </c>
      <c r="P219" s="1">
        <f t="shared" si="30"/>
        <v>7</v>
      </c>
      <c r="Q219" s="1">
        <f t="shared" si="31"/>
        <v>1</v>
      </c>
      <c r="R219" s="6">
        <f t="shared" si="32"/>
        <v>0.54938271604938271</v>
      </c>
      <c r="S219" s="8">
        <f t="shared" si="33"/>
        <v>78.788973823433508</v>
      </c>
      <c r="T219" s="8">
        <f t="shared" si="34"/>
        <v>10.211026176566492</v>
      </c>
      <c r="U219" t="str">
        <f t="shared" si="35"/>
        <v>Mid</v>
      </c>
    </row>
    <row r="220" spans="1:21">
      <c r="A220" s="1">
        <v>606</v>
      </c>
      <c r="B220" s="2">
        <v>2007</v>
      </c>
      <c r="C220" s="1" t="s">
        <v>71</v>
      </c>
      <c r="D220" s="1" t="s">
        <v>72</v>
      </c>
      <c r="E220" s="1" t="s">
        <v>17</v>
      </c>
      <c r="F220" s="1" t="s">
        <v>18</v>
      </c>
      <c r="G220" s="9">
        <v>101539796</v>
      </c>
      <c r="H220" s="1">
        <v>71</v>
      </c>
      <c r="I220" s="1">
        <v>91</v>
      </c>
      <c r="J220" s="5">
        <v>28.9</v>
      </c>
      <c r="K220" s="1" t="s">
        <v>19</v>
      </c>
      <c r="L220" s="1" t="s">
        <v>19</v>
      </c>
      <c r="M220" s="10">
        <f t="shared" si="27"/>
        <v>3513487.750865052</v>
      </c>
      <c r="N220" s="10">
        <f t="shared" si="28"/>
        <v>1430137.971830986</v>
      </c>
      <c r="O220" s="1">
        <f t="shared" si="29"/>
        <v>9</v>
      </c>
      <c r="P220" s="1">
        <f t="shared" si="30"/>
        <v>25</v>
      </c>
      <c r="Q220" s="1">
        <f t="shared" si="31"/>
        <v>-16</v>
      </c>
      <c r="R220" s="6">
        <f t="shared" si="32"/>
        <v>0.43827160493827161</v>
      </c>
      <c r="S220" s="8">
        <f t="shared" si="33"/>
        <v>78.764238028520396</v>
      </c>
      <c r="T220" s="8">
        <f t="shared" si="34"/>
        <v>-7.7642380285203956</v>
      </c>
      <c r="U220" t="str">
        <f t="shared" si="35"/>
        <v>Mid</v>
      </c>
    </row>
    <row r="221" spans="1:21">
      <c r="A221" s="1">
        <v>138</v>
      </c>
      <c r="B221" s="2">
        <v>2007</v>
      </c>
      <c r="C221" s="1" t="s">
        <v>33</v>
      </c>
      <c r="D221" s="1" t="s">
        <v>34</v>
      </c>
      <c r="E221" s="1" t="s">
        <v>26</v>
      </c>
      <c r="F221" s="1" t="s">
        <v>35</v>
      </c>
      <c r="G221" s="9">
        <v>100189832</v>
      </c>
      <c r="H221" s="1">
        <v>72</v>
      </c>
      <c r="I221" s="1">
        <v>90</v>
      </c>
      <c r="J221" s="5">
        <v>26.1</v>
      </c>
      <c r="K221" s="1" t="s">
        <v>19</v>
      </c>
      <c r="L221" s="1" t="s">
        <v>19</v>
      </c>
      <c r="M221" s="10">
        <f t="shared" si="27"/>
        <v>3838690.8812260535</v>
      </c>
      <c r="N221" s="10">
        <f t="shared" si="28"/>
        <v>1391525.4444444445</v>
      </c>
      <c r="O221" s="1">
        <f t="shared" si="29"/>
        <v>10</v>
      </c>
      <c r="P221" s="1">
        <f t="shared" si="30"/>
        <v>23</v>
      </c>
      <c r="Q221" s="1">
        <f t="shared" si="31"/>
        <v>-13</v>
      </c>
      <c r="R221" s="6">
        <f t="shared" si="32"/>
        <v>0.44444444444444442</v>
      </c>
      <c r="S221" s="8">
        <f t="shared" si="33"/>
        <v>78.64637933343387</v>
      </c>
      <c r="T221" s="8">
        <f t="shared" si="34"/>
        <v>-6.6463793334338703</v>
      </c>
      <c r="U221" t="str">
        <f t="shared" si="35"/>
        <v>Mid</v>
      </c>
    </row>
    <row r="222" spans="1:21">
      <c r="A222" s="1">
        <v>658</v>
      </c>
      <c r="B222" s="2">
        <v>2007</v>
      </c>
      <c r="C222" s="1" t="s">
        <v>75</v>
      </c>
      <c r="D222" s="1" t="s">
        <v>76</v>
      </c>
      <c r="E222" s="1" t="s">
        <v>17</v>
      </c>
      <c r="F222" s="1" t="s">
        <v>32</v>
      </c>
      <c r="G222" s="9">
        <v>99329875</v>
      </c>
      <c r="H222" s="1">
        <v>78</v>
      </c>
      <c r="I222" s="1">
        <v>84</v>
      </c>
      <c r="J222" s="5">
        <v>26.4</v>
      </c>
      <c r="K222" s="1" t="s">
        <v>19</v>
      </c>
      <c r="L222" s="1" t="s">
        <v>19</v>
      </c>
      <c r="M222" s="10">
        <f t="shared" si="27"/>
        <v>3762495.2651515151</v>
      </c>
      <c r="N222" s="10">
        <f t="shared" si="28"/>
        <v>1273459.935897436</v>
      </c>
      <c r="O222" s="1">
        <f t="shared" si="29"/>
        <v>11</v>
      </c>
      <c r="P222" s="1">
        <f t="shared" si="30"/>
        <v>18</v>
      </c>
      <c r="Q222" s="1">
        <f t="shared" si="31"/>
        <v>-7</v>
      </c>
      <c r="R222" s="6">
        <f t="shared" si="32"/>
        <v>0.48148148148148145</v>
      </c>
      <c r="S222" s="8">
        <f t="shared" si="33"/>
        <v>78.571300731448545</v>
      </c>
      <c r="T222" s="8">
        <f t="shared" si="34"/>
        <v>-0.57130073144854521</v>
      </c>
      <c r="U222" t="str">
        <f t="shared" si="35"/>
        <v>Mid</v>
      </c>
    </row>
    <row r="223" spans="1:21">
      <c r="A223" s="1">
        <v>242</v>
      </c>
      <c r="B223" s="2">
        <v>2007</v>
      </c>
      <c r="C223" s="1" t="s">
        <v>42</v>
      </c>
      <c r="D223" s="1" t="s">
        <v>43</v>
      </c>
      <c r="E223" s="1" t="s">
        <v>26</v>
      </c>
      <c r="F223" s="1" t="s">
        <v>35</v>
      </c>
      <c r="G223" s="9">
        <v>98519780</v>
      </c>
      <c r="H223" s="1">
        <v>88</v>
      </c>
      <c r="I223" s="1">
        <v>74</v>
      </c>
      <c r="J223" s="5">
        <v>40.299999999999997</v>
      </c>
      <c r="K223" s="1" t="s">
        <v>19</v>
      </c>
      <c r="L223" s="1" t="s">
        <v>19</v>
      </c>
      <c r="M223" s="10">
        <f t="shared" si="27"/>
        <v>2444659.5533498763</v>
      </c>
      <c r="N223" s="10">
        <f t="shared" si="28"/>
        <v>1119542.9545454546</v>
      </c>
      <c r="O223" s="1">
        <f t="shared" si="29"/>
        <v>12</v>
      </c>
      <c r="P223" s="1">
        <f t="shared" si="30"/>
        <v>9</v>
      </c>
      <c r="Q223" s="1">
        <f t="shared" si="31"/>
        <v>3</v>
      </c>
      <c r="R223" s="6">
        <f t="shared" si="32"/>
        <v>0.54320987654320985</v>
      </c>
      <c r="S223" s="8">
        <f t="shared" si="33"/>
        <v>78.500575334626021</v>
      </c>
      <c r="T223" s="8">
        <f t="shared" si="34"/>
        <v>9.4994246653739793</v>
      </c>
      <c r="U223" t="str">
        <f t="shared" si="35"/>
        <v>Mid</v>
      </c>
    </row>
    <row r="224" spans="1:21">
      <c r="A224" s="1">
        <v>268</v>
      </c>
      <c r="B224" s="2">
        <v>2007</v>
      </c>
      <c r="C224" s="1" t="s">
        <v>44</v>
      </c>
      <c r="D224" s="1" t="s">
        <v>45</v>
      </c>
      <c r="E224" s="1" t="s">
        <v>26</v>
      </c>
      <c r="F224" s="1" t="s">
        <v>46</v>
      </c>
      <c r="G224" s="9">
        <v>97213020</v>
      </c>
      <c r="H224" s="1">
        <v>73</v>
      </c>
      <c r="I224" s="1">
        <v>89</v>
      </c>
      <c r="J224" s="5">
        <v>31.7</v>
      </c>
      <c r="K224" s="1" t="s">
        <v>19</v>
      </c>
      <c r="L224" s="1" t="s">
        <v>19</v>
      </c>
      <c r="M224" s="10">
        <f t="shared" si="27"/>
        <v>3066656.782334385</v>
      </c>
      <c r="N224" s="10">
        <f t="shared" si="28"/>
        <v>1331685.2054794522</v>
      </c>
      <c r="O224" s="1">
        <f t="shared" si="29"/>
        <v>13</v>
      </c>
      <c r="P224" s="1">
        <f t="shared" si="30"/>
        <v>21</v>
      </c>
      <c r="Q224" s="1">
        <f t="shared" si="31"/>
        <v>-8</v>
      </c>
      <c r="R224" s="6">
        <f t="shared" si="32"/>
        <v>0.45061728395061729</v>
      </c>
      <c r="S224" s="8">
        <f t="shared" si="33"/>
        <v>78.386488567577956</v>
      </c>
      <c r="T224" s="8">
        <f t="shared" si="34"/>
        <v>-5.3864885675779561</v>
      </c>
      <c r="U224" t="str">
        <f t="shared" si="35"/>
        <v>Mid</v>
      </c>
    </row>
    <row r="225" spans="1:21">
      <c r="A225" s="1">
        <v>60</v>
      </c>
      <c r="B225" s="2">
        <v>2007</v>
      </c>
      <c r="C225" s="1" t="s">
        <v>24</v>
      </c>
      <c r="D225" s="1" t="s">
        <v>25</v>
      </c>
      <c r="E225" s="1" t="s">
        <v>26</v>
      </c>
      <c r="F225" s="1" t="s">
        <v>27</v>
      </c>
      <c r="G225" s="9">
        <v>95269977</v>
      </c>
      <c r="H225" s="1">
        <v>69</v>
      </c>
      <c r="I225" s="1">
        <v>93</v>
      </c>
      <c r="J225" s="5">
        <v>24.5</v>
      </c>
      <c r="K225" s="1" t="s">
        <v>19</v>
      </c>
      <c r="L225" s="1" t="s">
        <v>19</v>
      </c>
      <c r="M225" s="10">
        <f t="shared" si="27"/>
        <v>3888570.4897959186</v>
      </c>
      <c r="N225" s="10">
        <f t="shared" si="28"/>
        <v>1380724.3043478262</v>
      </c>
      <c r="O225" s="1">
        <f t="shared" si="29"/>
        <v>14</v>
      </c>
      <c r="P225" s="1">
        <f t="shared" si="30"/>
        <v>27</v>
      </c>
      <c r="Q225" s="1">
        <f t="shared" si="31"/>
        <v>-13</v>
      </c>
      <c r="R225" s="6">
        <f t="shared" si="32"/>
        <v>0.42592592592592593</v>
      </c>
      <c r="S225" s="8">
        <f t="shared" si="33"/>
        <v>78.216851071706202</v>
      </c>
      <c r="T225" s="8">
        <f t="shared" si="34"/>
        <v>-9.216851071706202</v>
      </c>
      <c r="U225" t="str">
        <f t="shared" si="35"/>
        <v>Mid</v>
      </c>
    </row>
    <row r="226" spans="1:21">
      <c r="A226" s="1">
        <v>736</v>
      </c>
      <c r="B226" s="2">
        <v>2007</v>
      </c>
      <c r="C226" s="1" t="s">
        <v>81</v>
      </c>
      <c r="D226" s="1" t="s">
        <v>82</v>
      </c>
      <c r="E226" s="1" t="s">
        <v>26</v>
      </c>
      <c r="F226" s="1" t="s">
        <v>27</v>
      </c>
      <c r="G226" s="9">
        <v>95069351</v>
      </c>
      <c r="H226" s="1">
        <v>83</v>
      </c>
      <c r="I226" s="1">
        <v>79</v>
      </c>
      <c r="J226" s="5">
        <v>42.5</v>
      </c>
      <c r="K226" s="1" t="s">
        <v>19</v>
      </c>
      <c r="L226" s="1" t="s">
        <v>19</v>
      </c>
      <c r="M226" s="10">
        <f t="shared" si="27"/>
        <v>2236925.905882353</v>
      </c>
      <c r="N226" s="10">
        <f t="shared" si="28"/>
        <v>1145413.8674698796</v>
      </c>
      <c r="O226" s="1">
        <f t="shared" si="29"/>
        <v>15</v>
      </c>
      <c r="P226" s="1">
        <f t="shared" si="30"/>
        <v>14</v>
      </c>
      <c r="Q226" s="1">
        <f t="shared" si="31"/>
        <v>1</v>
      </c>
      <c r="R226" s="6">
        <f t="shared" si="32"/>
        <v>0.51234567901234573</v>
      </c>
      <c r="S226" s="8">
        <f t="shared" si="33"/>
        <v>78.199335405688117</v>
      </c>
      <c r="T226" s="8">
        <f t="shared" si="34"/>
        <v>4.8006645943118826</v>
      </c>
      <c r="U226" t="str">
        <f t="shared" si="35"/>
        <v>Mid</v>
      </c>
    </row>
    <row r="227" spans="1:21">
      <c r="A227" s="1">
        <v>34</v>
      </c>
      <c r="B227" s="2">
        <v>2007</v>
      </c>
      <c r="C227" s="1" t="s">
        <v>21</v>
      </c>
      <c r="D227" s="1" t="s">
        <v>22</v>
      </c>
      <c r="E227" s="1" t="s">
        <v>17</v>
      </c>
      <c r="F227" s="1" t="s">
        <v>23</v>
      </c>
      <c r="G227" s="9">
        <v>92634468</v>
      </c>
      <c r="H227" s="1">
        <v>84</v>
      </c>
      <c r="I227" s="1">
        <v>78</v>
      </c>
      <c r="J227" s="5">
        <v>43.7</v>
      </c>
      <c r="K227" s="1" t="s">
        <v>19</v>
      </c>
      <c r="L227" s="1" t="s">
        <v>19</v>
      </c>
      <c r="M227" s="10">
        <f t="shared" si="27"/>
        <v>2119781.876430206</v>
      </c>
      <c r="N227" s="10">
        <f t="shared" si="28"/>
        <v>1102791.2857142857</v>
      </c>
      <c r="O227" s="1">
        <f t="shared" si="29"/>
        <v>16</v>
      </c>
      <c r="P227" s="1">
        <f t="shared" si="30"/>
        <v>13</v>
      </c>
      <c r="Q227" s="1">
        <f t="shared" si="31"/>
        <v>3</v>
      </c>
      <c r="R227" s="6">
        <f t="shared" si="32"/>
        <v>0.51851851851851849</v>
      </c>
      <c r="S227" s="8">
        <f t="shared" si="33"/>
        <v>77.986757786530589</v>
      </c>
      <c r="T227" s="8">
        <f t="shared" si="34"/>
        <v>6.013242213469411</v>
      </c>
      <c r="U227" t="str">
        <f t="shared" si="35"/>
        <v>Mid</v>
      </c>
    </row>
    <row r="228" spans="1:21">
      <c r="A228" s="1">
        <v>710</v>
      </c>
      <c r="B228" s="2">
        <v>2007</v>
      </c>
      <c r="C228" s="1" t="s">
        <v>79</v>
      </c>
      <c r="D228" s="1" t="s">
        <v>80</v>
      </c>
      <c r="E228" s="1" t="s">
        <v>26</v>
      </c>
      <c r="F228" s="1" t="s">
        <v>46</v>
      </c>
      <c r="G228" s="9">
        <v>78923435</v>
      </c>
      <c r="H228" s="1">
        <v>75</v>
      </c>
      <c r="I228" s="1">
        <v>87</v>
      </c>
      <c r="J228" s="5">
        <v>23.1</v>
      </c>
      <c r="K228" s="1" t="s">
        <v>19</v>
      </c>
      <c r="L228" s="1" t="s">
        <v>19</v>
      </c>
      <c r="M228" s="10">
        <f t="shared" si="27"/>
        <v>3416598.9177489174</v>
      </c>
      <c r="N228" s="10">
        <f t="shared" si="28"/>
        <v>1052312.4666666666</v>
      </c>
      <c r="O228" s="1">
        <f t="shared" si="29"/>
        <v>17</v>
      </c>
      <c r="P228" s="1">
        <f t="shared" si="30"/>
        <v>20</v>
      </c>
      <c r="Q228" s="1">
        <f t="shared" si="31"/>
        <v>-3</v>
      </c>
      <c r="R228" s="6">
        <f t="shared" si="32"/>
        <v>0.46296296296296297</v>
      </c>
      <c r="S228" s="8">
        <f t="shared" si="33"/>
        <v>76.789715156009819</v>
      </c>
      <c r="T228" s="8">
        <f t="shared" si="34"/>
        <v>-1.7897151560098195</v>
      </c>
      <c r="U228" t="str">
        <f t="shared" si="35"/>
        <v>Low</v>
      </c>
    </row>
    <row r="229" spans="1:21">
      <c r="A229" s="1">
        <v>502</v>
      </c>
      <c r="B229" s="2">
        <v>2007</v>
      </c>
      <c r="C229" s="1" t="s">
        <v>63</v>
      </c>
      <c r="D229" s="1" t="s">
        <v>64</v>
      </c>
      <c r="E229" s="1" t="s">
        <v>26</v>
      </c>
      <c r="F229" s="1" t="s">
        <v>46</v>
      </c>
      <c r="G229" s="9">
        <v>78482125</v>
      </c>
      <c r="H229" s="1">
        <v>76</v>
      </c>
      <c r="I229" s="1">
        <v>86</v>
      </c>
      <c r="J229" s="5">
        <v>29.1</v>
      </c>
      <c r="K229" s="1" t="s">
        <v>19</v>
      </c>
      <c r="L229" s="1" t="s">
        <v>19</v>
      </c>
      <c r="M229" s="10">
        <f t="shared" si="27"/>
        <v>2696980.2405498279</v>
      </c>
      <c r="N229" s="10">
        <f t="shared" si="28"/>
        <v>1032659.5394736842</v>
      </c>
      <c r="O229" s="1">
        <f t="shared" si="29"/>
        <v>18</v>
      </c>
      <c r="P229" s="1">
        <f t="shared" si="30"/>
        <v>19</v>
      </c>
      <c r="Q229" s="1">
        <f t="shared" si="31"/>
        <v>-1</v>
      </c>
      <c r="R229" s="6">
        <f t="shared" si="32"/>
        <v>0.46913580246913578</v>
      </c>
      <c r="S229" s="8">
        <f t="shared" si="33"/>
        <v>76.751186557670437</v>
      </c>
      <c r="T229" s="8">
        <f t="shared" si="34"/>
        <v>-0.75118655767043663</v>
      </c>
      <c r="U229" t="str">
        <f t="shared" si="35"/>
        <v>Low</v>
      </c>
    </row>
    <row r="230" spans="1:21">
      <c r="A230" s="1">
        <v>164</v>
      </c>
      <c r="B230" s="2">
        <v>2007</v>
      </c>
      <c r="C230" s="1" t="s">
        <v>36</v>
      </c>
      <c r="D230" s="1" t="s">
        <v>37</v>
      </c>
      <c r="E230" s="1" t="s">
        <v>17</v>
      </c>
      <c r="F230" s="1" t="s">
        <v>32</v>
      </c>
      <c r="G230" s="9">
        <v>73072635</v>
      </c>
      <c r="H230" s="1">
        <v>72</v>
      </c>
      <c r="I230" s="1">
        <v>90</v>
      </c>
      <c r="J230" s="5">
        <v>25.8</v>
      </c>
      <c r="K230" s="1" t="s">
        <v>19</v>
      </c>
      <c r="L230" s="1" t="s">
        <v>19</v>
      </c>
      <c r="M230" s="10">
        <f t="shared" si="27"/>
        <v>2832272.6744186045</v>
      </c>
      <c r="N230" s="10">
        <f t="shared" si="28"/>
        <v>1014897.7083333334</v>
      </c>
      <c r="O230" s="1">
        <f t="shared" si="29"/>
        <v>19</v>
      </c>
      <c r="P230" s="1">
        <f t="shared" si="30"/>
        <v>23</v>
      </c>
      <c r="Q230" s="1">
        <f t="shared" si="31"/>
        <v>-4</v>
      </c>
      <c r="R230" s="6">
        <f t="shared" si="32"/>
        <v>0.44444444444444442</v>
      </c>
      <c r="S230" s="8">
        <f t="shared" si="33"/>
        <v>76.278910680325822</v>
      </c>
      <c r="T230" s="8">
        <f t="shared" si="34"/>
        <v>-4.2789106803258221</v>
      </c>
      <c r="U230" t="str">
        <f t="shared" si="35"/>
        <v>Low</v>
      </c>
    </row>
    <row r="231" spans="1:21">
      <c r="A231" s="1">
        <v>398</v>
      </c>
      <c r="B231" s="2">
        <v>2007</v>
      </c>
      <c r="C231" s="1" t="s">
        <v>55</v>
      </c>
      <c r="D231" s="1" t="s">
        <v>56</v>
      </c>
      <c r="E231" s="1" t="s">
        <v>17</v>
      </c>
      <c r="F231" s="1" t="s">
        <v>32</v>
      </c>
      <c r="G231" s="9">
        <v>72751641</v>
      </c>
      <c r="H231" s="1">
        <v>83</v>
      </c>
      <c r="I231" s="1">
        <v>79</v>
      </c>
      <c r="J231" s="5">
        <v>36.6</v>
      </c>
      <c r="K231" s="1" t="s">
        <v>19</v>
      </c>
      <c r="L231" s="1" t="s">
        <v>19</v>
      </c>
      <c r="M231" s="10">
        <f t="shared" si="27"/>
        <v>1987749.7540983607</v>
      </c>
      <c r="N231" s="10">
        <f t="shared" si="28"/>
        <v>876525.79518072284</v>
      </c>
      <c r="O231" s="1">
        <f t="shared" si="29"/>
        <v>20</v>
      </c>
      <c r="P231" s="1">
        <f t="shared" si="30"/>
        <v>14</v>
      </c>
      <c r="Q231" s="1">
        <f t="shared" si="31"/>
        <v>6</v>
      </c>
      <c r="R231" s="6">
        <f t="shared" si="32"/>
        <v>0.51234567901234573</v>
      </c>
      <c r="S231" s="8">
        <f t="shared" si="33"/>
        <v>76.25088627821539</v>
      </c>
      <c r="T231" s="8">
        <f t="shared" si="34"/>
        <v>6.7491137217846102</v>
      </c>
      <c r="U231" t="str">
        <f t="shared" si="35"/>
        <v>Low</v>
      </c>
    </row>
    <row r="232" spans="1:21">
      <c r="A232" s="1">
        <v>424</v>
      </c>
      <c r="B232" s="2">
        <v>2007</v>
      </c>
      <c r="C232" s="1" t="s">
        <v>57</v>
      </c>
      <c r="D232" s="1" t="s">
        <v>58</v>
      </c>
      <c r="E232" s="1" t="s">
        <v>26</v>
      </c>
      <c r="F232" s="1" t="s">
        <v>35</v>
      </c>
      <c r="G232" s="9">
        <v>71938505</v>
      </c>
      <c r="H232" s="1">
        <v>79</v>
      </c>
      <c r="I232" s="1">
        <v>83</v>
      </c>
      <c r="J232" s="5">
        <v>34.200000000000003</v>
      </c>
      <c r="K232" s="1" t="s">
        <v>19</v>
      </c>
      <c r="L232" s="1" t="s">
        <v>19</v>
      </c>
      <c r="M232" s="10">
        <f t="shared" si="27"/>
        <v>2103465.0584795321</v>
      </c>
      <c r="N232" s="10">
        <f t="shared" si="28"/>
        <v>910613.98734177218</v>
      </c>
      <c r="O232" s="1">
        <f t="shared" si="29"/>
        <v>21</v>
      </c>
      <c r="P232" s="1">
        <f t="shared" si="30"/>
        <v>17</v>
      </c>
      <c r="Q232" s="1">
        <f t="shared" si="31"/>
        <v>4</v>
      </c>
      <c r="R232" s="6">
        <f t="shared" si="32"/>
        <v>0.48765432098765432</v>
      </c>
      <c r="S232" s="8">
        <f t="shared" si="33"/>
        <v>76.179895386689495</v>
      </c>
      <c r="T232" s="8">
        <f t="shared" si="34"/>
        <v>2.8201046133105052</v>
      </c>
      <c r="U232" t="str">
        <f t="shared" si="35"/>
        <v>Low</v>
      </c>
    </row>
    <row r="233" spans="1:21">
      <c r="A233" s="1">
        <v>190</v>
      </c>
      <c r="B233" s="2">
        <v>2007</v>
      </c>
      <c r="C233" s="1" t="s">
        <v>38</v>
      </c>
      <c r="D233" s="1" t="s">
        <v>39</v>
      </c>
      <c r="E233" s="1" t="s">
        <v>26</v>
      </c>
      <c r="F233" s="1" t="s">
        <v>35</v>
      </c>
      <c r="G233" s="9">
        <v>71887236</v>
      </c>
      <c r="H233" s="1">
        <v>96</v>
      </c>
      <c r="I233" s="1">
        <v>66</v>
      </c>
      <c r="J233" s="5">
        <v>48.1</v>
      </c>
      <c r="K233" s="1" t="s">
        <v>20</v>
      </c>
      <c r="L233" s="1" t="s">
        <v>19</v>
      </c>
      <c r="M233" s="10">
        <f t="shared" si="27"/>
        <v>1494537.130977131</v>
      </c>
      <c r="N233" s="10">
        <f t="shared" si="28"/>
        <v>748825.375</v>
      </c>
      <c r="O233" s="1">
        <f t="shared" si="29"/>
        <v>22</v>
      </c>
      <c r="P233" s="1">
        <f t="shared" si="30"/>
        <v>1</v>
      </c>
      <c r="Q233" s="1">
        <f t="shared" si="31"/>
        <v>21</v>
      </c>
      <c r="R233" s="6">
        <f t="shared" si="32"/>
        <v>0.59259259259259256</v>
      </c>
      <c r="S233" s="8">
        <f t="shared" si="33"/>
        <v>76.175419343299893</v>
      </c>
      <c r="T233" s="8">
        <f t="shared" si="34"/>
        <v>19.824580656700107</v>
      </c>
      <c r="U233" t="str">
        <f t="shared" si="35"/>
        <v>Low</v>
      </c>
    </row>
    <row r="234" spans="1:21">
      <c r="A234" s="1">
        <v>8</v>
      </c>
      <c r="B234" s="2">
        <v>2007</v>
      </c>
      <c r="C234" s="1" t="s">
        <v>15</v>
      </c>
      <c r="D234" s="1" t="s">
        <v>16</v>
      </c>
      <c r="E234" s="1" t="s">
        <v>17</v>
      </c>
      <c r="F234" s="1" t="s">
        <v>18</v>
      </c>
      <c r="G234" s="9">
        <v>70448367</v>
      </c>
      <c r="H234" s="1">
        <v>90</v>
      </c>
      <c r="I234" s="1">
        <v>72</v>
      </c>
      <c r="J234" s="5">
        <v>34.700000000000003</v>
      </c>
      <c r="K234" s="1" t="s">
        <v>20</v>
      </c>
      <c r="L234" s="1" t="s">
        <v>19</v>
      </c>
      <c r="M234" s="10">
        <f t="shared" si="27"/>
        <v>2030212.3054755041</v>
      </c>
      <c r="N234" s="10">
        <f t="shared" si="28"/>
        <v>782759.6333333333</v>
      </c>
      <c r="O234" s="1">
        <f t="shared" si="29"/>
        <v>23</v>
      </c>
      <c r="P234" s="1">
        <f t="shared" si="30"/>
        <v>5</v>
      </c>
      <c r="Q234" s="1">
        <f t="shared" si="31"/>
        <v>18</v>
      </c>
      <c r="R234" s="6">
        <f t="shared" si="32"/>
        <v>0.55555555555555558</v>
      </c>
      <c r="S234" s="8">
        <f t="shared" si="33"/>
        <v>76.04979879138854</v>
      </c>
      <c r="T234" s="8">
        <f t="shared" si="34"/>
        <v>13.95020120861146</v>
      </c>
      <c r="U234" t="str">
        <f t="shared" si="35"/>
        <v>Low</v>
      </c>
    </row>
    <row r="235" spans="1:21">
      <c r="A235" s="1">
        <v>580</v>
      </c>
      <c r="B235" s="2">
        <v>2007</v>
      </c>
      <c r="C235" s="1" t="s">
        <v>69</v>
      </c>
      <c r="D235" s="1" t="s">
        <v>70</v>
      </c>
      <c r="E235" s="1" t="s">
        <v>17</v>
      </c>
      <c r="F235" s="1" t="s">
        <v>18</v>
      </c>
      <c r="G235" s="9">
        <v>67490967</v>
      </c>
      <c r="H235" s="1">
        <v>89</v>
      </c>
      <c r="I235" s="1">
        <v>74</v>
      </c>
      <c r="J235" s="5">
        <v>43.4</v>
      </c>
      <c r="K235" s="1" t="s">
        <v>19</v>
      </c>
      <c r="L235" s="1" t="s">
        <v>19</v>
      </c>
      <c r="M235" s="10">
        <f t="shared" si="27"/>
        <v>1555091.405529954</v>
      </c>
      <c r="N235" s="10">
        <f t="shared" si="28"/>
        <v>758325.4719101123</v>
      </c>
      <c r="O235" s="1">
        <f t="shared" si="29"/>
        <v>24</v>
      </c>
      <c r="P235" s="1">
        <f t="shared" si="30"/>
        <v>7</v>
      </c>
      <c r="Q235" s="1">
        <f t="shared" si="31"/>
        <v>17</v>
      </c>
      <c r="R235" s="6">
        <f t="shared" si="32"/>
        <v>0.54601226993865026</v>
      </c>
      <c r="S235" s="8">
        <f t="shared" si="33"/>
        <v>75.791602791458985</v>
      </c>
      <c r="T235" s="8">
        <f t="shared" si="34"/>
        <v>13.208397208541015</v>
      </c>
      <c r="U235" t="str">
        <f t="shared" si="35"/>
        <v>Low</v>
      </c>
    </row>
    <row r="236" spans="1:21">
      <c r="A236" s="1">
        <v>294</v>
      </c>
      <c r="B236" s="2">
        <v>2007</v>
      </c>
      <c r="C236" s="1" t="s">
        <v>47</v>
      </c>
      <c r="D236" s="1" t="s">
        <v>48</v>
      </c>
      <c r="E236" s="1" t="s">
        <v>26</v>
      </c>
      <c r="F236" s="1" t="s">
        <v>35</v>
      </c>
      <c r="G236" s="9">
        <v>62264855</v>
      </c>
      <c r="H236" s="1">
        <v>69</v>
      </c>
      <c r="I236" s="1">
        <v>93</v>
      </c>
      <c r="J236" s="5">
        <v>22.5</v>
      </c>
      <c r="K236" s="1" t="s">
        <v>19</v>
      </c>
      <c r="L236" s="1" t="s">
        <v>19</v>
      </c>
      <c r="M236" s="10">
        <f t="shared" si="27"/>
        <v>2767326.888888889</v>
      </c>
      <c r="N236" s="10">
        <f t="shared" si="28"/>
        <v>902389.20289855078</v>
      </c>
      <c r="O236" s="1">
        <f t="shared" si="29"/>
        <v>25</v>
      </c>
      <c r="P236" s="1">
        <f t="shared" si="30"/>
        <v>27</v>
      </c>
      <c r="Q236" s="1">
        <f t="shared" si="31"/>
        <v>-2</v>
      </c>
      <c r="R236" s="6">
        <f t="shared" si="32"/>
        <v>0.42592592592592593</v>
      </c>
      <c r="S236" s="8">
        <f t="shared" si="33"/>
        <v>75.335336742367261</v>
      </c>
      <c r="T236" s="8">
        <f t="shared" si="34"/>
        <v>-6.3353367423672609</v>
      </c>
      <c r="U236" t="str">
        <f t="shared" si="35"/>
        <v>Low</v>
      </c>
    </row>
    <row r="237" spans="1:21">
      <c r="A237" s="1">
        <v>216</v>
      </c>
      <c r="B237" s="2">
        <v>2007</v>
      </c>
      <c r="C237" s="1" t="s">
        <v>40</v>
      </c>
      <c r="D237" s="1" t="s">
        <v>41</v>
      </c>
      <c r="E237" s="1" t="s">
        <v>17</v>
      </c>
      <c r="F237" s="1" t="s">
        <v>18</v>
      </c>
      <c r="G237" s="9">
        <v>61348681</v>
      </c>
      <c r="H237" s="1">
        <v>90</v>
      </c>
      <c r="I237" s="1">
        <v>73</v>
      </c>
      <c r="J237" s="5">
        <v>41.2</v>
      </c>
      <c r="K237" s="1" t="s">
        <v>20</v>
      </c>
      <c r="L237" s="1" t="s">
        <v>19</v>
      </c>
      <c r="M237" s="10">
        <f t="shared" si="27"/>
        <v>1489045.6553398056</v>
      </c>
      <c r="N237" s="10">
        <f t="shared" si="28"/>
        <v>681652.01111111115</v>
      </c>
      <c r="O237" s="1">
        <f t="shared" si="29"/>
        <v>26</v>
      </c>
      <c r="P237" s="1">
        <f t="shared" si="30"/>
        <v>5</v>
      </c>
      <c r="Q237" s="1">
        <f t="shared" si="31"/>
        <v>21</v>
      </c>
      <c r="R237" s="6">
        <f t="shared" si="32"/>
        <v>0.55214723926380371</v>
      </c>
      <c r="S237" s="8">
        <f t="shared" si="33"/>
        <v>75.255350111529552</v>
      </c>
      <c r="T237" s="8">
        <f t="shared" si="34"/>
        <v>14.744649888470448</v>
      </c>
      <c r="U237" t="str">
        <f t="shared" si="35"/>
        <v>Low</v>
      </c>
    </row>
    <row r="238" spans="1:21">
      <c r="A238" s="1">
        <v>554</v>
      </c>
      <c r="B238" s="2">
        <v>2007</v>
      </c>
      <c r="C238" s="1" t="s">
        <v>67</v>
      </c>
      <c r="D238" s="1" t="s">
        <v>68</v>
      </c>
      <c r="E238" s="1" t="s">
        <v>17</v>
      </c>
      <c r="F238" s="1" t="s">
        <v>32</v>
      </c>
      <c r="G238" s="9">
        <v>51360907</v>
      </c>
      <c r="H238" s="1">
        <v>68</v>
      </c>
      <c r="I238" s="1">
        <v>94</v>
      </c>
      <c r="J238" s="5">
        <v>21.2</v>
      </c>
      <c r="K238" s="1" t="s">
        <v>19</v>
      </c>
      <c r="L238" s="1" t="s">
        <v>19</v>
      </c>
      <c r="M238" s="10">
        <f t="shared" si="27"/>
        <v>2422684.2924528304</v>
      </c>
      <c r="N238" s="10">
        <f t="shared" si="28"/>
        <v>755307.45588235289</v>
      </c>
      <c r="O238" s="1">
        <f t="shared" si="29"/>
        <v>27</v>
      </c>
      <c r="P238" s="1">
        <f t="shared" si="30"/>
        <v>29</v>
      </c>
      <c r="Q238" s="1">
        <f t="shared" si="31"/>
        <v>-2</v>
      </c>
      <c r="R238" s="6">
        <f t="shared" si="32"/>
        <v>0.41975308641975306</v>
      </c>
      <c r="S238" s="8">
        <f t="shared" si="33"/>
        <v>74.383366850895072</v>
      </c>
      <c r="T238" s="8">
        <f t="shared" si="34"/>
        <v>-6.3833668508950723</v>
      </c>
      <c r="U238" t="str">
        <f t="shared" si="35"/>
        <v>Low</v>
      </c>
    </row>
    <row r="239" spans="1:21">
      <c r="A239" s="1">
        <v>762</v>
      </c>
      <c r="B239" s="2">
        <v>2007</v>
      </c>
      <c r="C239" s="1" t="s">
        <v>83</v>
      </c>
      <c r="D239" s="1" t="s">
        <v>84</v>
      </c>
      <c r="E239" s="1" t="s">
        <v>17</v>
      </c>
      <c r="F239" s="1" t="s">
        <v>23</v>
      </c>
      <c r="G239" s="9">
        <v>43254278</v>
      </c>
      <c r="H239" s="1">
        <v>73</v>
      </c>
      <c r="I239" s="1">
        <v>89</v>
      </c>
      <c r="J239" s="5">
        <v>20.8</v>
      </c>
      <c r="K239" s="1" t="s">
        <v>19</v>
      </c>
      <c r="L239" s="1" t="s">
        <v>19</v>
      </c>
      <c r="M239" s="10">
        <f t="shared" si="27"/>
        <v>2079532.596153846</v>
      </c>
      <c r="N239" s="10">
        <f t="shared" si="28"/>
        <v>592524.35616438359</v>
      </c>
      <c r="O239" s="1">
        <f t="shared" si="29"/>
        <v>28</v>
      </c>
      <c r="P239" s="1">
        <f t="shared" si="30"/>
        <v>21</v>
      </c>
      <c r="Q239" s="1">
        <f t="shared" si="31"/>
        <v>7</v>
      </c>
      <c r="R239" s="6">
        <f t="shared" si="32"/>
        <v>0.45061728395061729</v>
      </c>
      <c r="S239" s="8">
        <f t="shared" si="33"/>
        <v>73.67561707720435</v>
      </c>
      <c r="T239" s="8">
        <f t="shared" si="34"/>
        <v>-0.67561707720435038</v>
      </c>
      <c r="U239" t="str">
        <f t="shared" si="35"/>
        <v>Low</v>
      </c>
    </row>
    <row r="240" spans="1:21">
      <c r="A240" s="1">
        <v>372</v>
      </c>
      <c r="B240" s="2">
        <v>2007</v>
      </c>
      <c r="C240" s="1" t="s">
        <v>53</v>
      </c>
      <c r="D240" s="1" t="s">
        <v>54</v>
      </c>
      <c r="E240" s="1" t="s">
        <v>17</v>
      </c>
      <c r="F240" s="1" t="s">
        <v>23</v>
      </c>
      <c r="G240" s="9">
        <v>33072472</v>
      </c>
      <c r="H240" s="1">
        <v>71</v>
      </c>
      <c r="I240" s="1">
        <v>91</v>
      </c>
      <c r="J240" s="5">
        <v>38.700000000000003</v>
      </c>
      <c r="K240" s="1" t="s">
        <v>19</v>
      </c>
      <c r="L240" s="1" t="s">
        <v>19</v>
      </c>
      <c r="M240" s="10">
        <f t="shared" si="27"/>
        <v>854585.83979328163</v>
      </c>
      <c r="N240" s="10">
        <f t="shared" si="28"/>
        <v>465809.46478873241</v>
      </c>
      <c r="O240" s="1">
        <f t="shared" si="29"/>
        <v>29</v>
      </c>
      <c r="P240" s="1">
        <f t="shared" si="30"/>
        <v>25</v>
      </c>
      <c r="Q240" s="1">
        <f t="shared" si="31"/>
        <v>4</v>
      </c>
      <c r="R240" s="6">
        <f t="shared" si="32"/>
        <v>0.43827160493827161</v>
      </c>
      <c r="S240" s="8">
        <f t="shared" si="33"/>
        <v>72.786693840151955</v>
      </c>
      <c r="T240" s="8">
        <f t="shared" si="34"/>
        <v>-1.7866938401519548</v>
      </c>
      <c r="U240" t="str">
        <f t="shared" si="35"/>
        <v>Low</v>
      </c>
    </row>
    <row r="241" spans="1:21">
      <c r="A241" s="1">
        <v>684</v>
      </c>
      <c r="B241" s="2">
        <v>2007</v>
      </c>
      <c r="C241" s="1" t="s">
        <v>77</v>
      </c>
      <c r="D241" s="1" t="s">
        <v>78</v>
      </c>
      <c r="E241" s="1" t="s">
        <v>26</v>
      </c>
      <c r="F241" s="1" t="s">
        <v>27</v>
      </c>
      <c r="G241" s="9">
        <v>31817020</v>
      </c>
      <c r="H241" s="1">
        <v>66</v>
      </c>
      <c r="I241" s="1">
        <v>96</v>
      </c>
      <c r="J241" s="5">
        <v>31.4</v>
      </c>
      <c r="K241" s="1" t="s">
        <v>19</v>
      </c>
      <c r="L241" s="1" t="s">
        <v>19</v>
      </c>
      <c r="M241" s="10">
        <f t="shared" si="27"/>
        <v>1013280.8917197452</v>
      </c>
      <c r="N241" s="10">
        <f t="shared" si="28"/>
        <v>482076.06060606061</v>
      </c>
      <c r="O241" s="1">
        <f t="shared" si="29"/>
        <v>30</v>
      </c>
      <c r="P241" s="1">
        <f t="shared" si="30"/>
        <v>30</v>
      </c>
      <c r="Q241" s="1">
        <f t="shared" si="31"/>
        <v>0</v>
      </c>
      <c r="R241" s="6">
        <f t="shared" si="32"/>
        <v>0.40740740740740738</v>
      </c>
      <c r="S241" s="8">
        <f t="shared" si="33"/>
        <v>72.677086521391033</v>
      </c>
      <c r="T241" s="8">
        <f t="shared" si="34"/>
        <v>-6.6770865213910326</v>
      </c>
      <c r="U241" t="str">
        <f t="shared" si="35"/>
        <v>Low</v>
      </c>
    </row>
    <row r="242" spans="1:21">
      <c r="A242" s="1">
        <v>477</v>
      </c>
      <c r="B242" s="2">
        <v>2008</v>
      </c>
      <c r="C242" s="1" t="s">
        <v>61</v>
      </c>
      <c r="D242" s="1" t="s">
        <v>62</v>
      </c>
      <c r="E242" s="1" t="s">
        <v>26</v>
      </c>
      <c r="F242" s="1" t="s">
        <v>27</v>
      </c>
      <c r="G242" s="9">
        <v>209081577</v>
      </c>
      <c r="H242" s="1">
        <v>89</v>
      </c>
      <c r="I242" s="1">
        <v>73</v>
      </c>
      <c r="J242" s="5">
        <v>42.5</v>
      </c>
      <c r="K242" s="1" t="s">
        <v>19</v>
      </c>
      <c r="L242" s="1" t="s">
        <v>19</v>
      </c>
      <c r="M242" s="10">
        <f t="shared" si="27"/>
        <v>4919566.5176470587</v>
      </c>
      <c r="N242" s="10">
        <f t="shared" si="28"/>
        <v>2349231.2022471912</v>
      </c>
      <c r="O242" s="1">
        <f t="shared" si="29"/>
        <v>1</v>
      </c>
      <c r="P242" s="1">
        <f t="shared" si="30"/>
        <v>7</v>
      </c>
      <c r="Q242" s="1">
        <f t="shared" si="31"/>
        <v>-6</v>
      </c>
      <c r="R242" s="6">
        <f t="shared" si="32"/>
        <v>0.54938271604938271</v>
      </c>
      <c r="S242" s="8">
        <f t="shared" si="33"/>
        <v>88.153180234343168</v>
      </c>
      <c r="T242" s="8">
        <f t="shared" si="34"/>
        <v>0.84681976565683215</v>
      </c>
      <c r="U242" t="str">
        <f t="shared" si="35"/>
        <v>High</v>
      </c>
    </row>
    <row r="243" spans="1:21">
      <c r="A243" s="1">
        <v>451</v>
      </c>
      <c r="B243" s="2">
        <v>2008</v>
      </c>
      <c r="C243" s="1" t="s">
        <v>59</v>
      </c>
      <c r="D243" s="1" t="s">
        <v>60</v>
      </c>
      <c r="E243" s="1" t="s">
        <v>17</v>
      </c>
      <c r="F243" s="1" t="s">
        <v>23</v>
      </c>
      <c r="G243" s="9">
        <v>137793376</v>
      </c>
      <c r="H243" s="1">
        <v>89</v>
      </c>
      <c r="I243" s="1">
        <v>73</v>
      </c>
      <c r="J243" s="5">
        <v>48.7</v>
      </c>
      <c r="K243" s="1" t="s">
        <v>19</v>
      </c>
      <c r="L243" s="1" t="s">
        <v>19</v>
      </c>
      <c r="M243" s="10">
        <f t="shared" si="27"/>
        <v>2829432.7720739217</v>
      </c>
      <c r="N243" s="10">
        <f t="shared" si="28"/>
        <v>1548240.1797752809</v>
      </c>
      <c r="O243" s="1">
        <f t="shared" si="29"/>
        <v>2</v>
      </c>
      <c r="P243" s="1">
        <f t="shared" si="30"/>
        <v>7</v>
      </c>
      <c r="Q243" s="1">
        <f t="shared" si="31"/>
        <v>-5</v>
      </c>
      <c r="R243" s="6">
        <f t="shared" si="32"/>
        <v>0.54938271604938271</v>
      </c>
      <c r="S243" s="8">
        <f t="shared" si="33"/>
        <v>81.929359195466418</v>
      </c>
      <c r="T243" s="8">
        <f t="shared" si="34"/>
        <v>7.070640804533582</v>
      </c>
      <c r="U243" t="str">
        <f t="shared" si="35"/>
        <v>Mid</v>
      </c>
    </row>
    <row r="244" spans="1:21">
      <c r="A244" s="1">
        <v>243</v>
      </c>
      <c r="B244" s="2">
        <v>2008</v>
      </c>
      <c r="C244" s="1" t="s">
        <v>42</v>
      </c>
      <c r="D244" s="1" t="s">
        <v>43</v>
      </c>
      <c r="E244" s="1" t="s">
        <v>26</v>
      </c>
      <c r="F244" s="1" t="s">
        <v>35</v>
      </c>
      <c r="G244" s="9">
        <v>137685196</v>
      </c>
      <c r="H244" s="1">
        <v>74</v>
      </c>
      <c r="I244" s="1">
        <v>88</v>
      </c>
      <c r="J244" s="5">
        <v>28.4</v>
      </c>
      <c r="K244" s="1" t="s">
        <v>19</v>
      </c>
      <c r="L244" s="1" t="s">
        <v>19</v>
      </c>
      <c r="M244" s="10">
        <f t="shared" si="27"/>
        <v>4848070.2816901412</v>
      </c>
      <c r="N244" s="10">
        <f t="shared" si="28"/>
        <v>1860610.7567567567</v>
      </c>
      <c r="O244" s="1">
        <f t="shared" si="29"/>
        <v>3</v>
      </c>
      <c r="P244" s="1">
        <f t="shared" si="30"/>
        <v>21</v>
      </c>
      <c r="Q244" s="1">
        <f t="shared" si="31"/>
        <v>-18</v>
      </c>
      <c r="R244" s="6">
        <f t="shared" si="32"/>
        <v>0.4567901234567901</v>
      </c>
      <c r="S244" s="8">
        <f t="shared" si="33"/>
        <v>81.919914533509157</v>
      </c>
      <c r="T244" s="8">
        <f t="shared" si="34"/>
        <v>-7.9199145335091572</v>
      </c>
      <c r="U244" t="str">
        <f t="shared" si="35"/>
        <v>Mid</v>
      </c>
    </row>
    <row r="245" spans="1:21">
      <c r="A245" s="1">
        <v>87</v>
      </c>
      <c r="B245" s="2">
        <v>2008</v>
      </c>
      <c r="C245" s="1" t="s">
        <v>28</v>
      </c>
      <c r="D245" s="1" t="s">
        <v>29</v>
      </c>
      <c r="E245" s="1" t="s">
        <v>26</v>
      </c>
      <c r="F245" s="1" t="s">
        <v>27</v>
      </c>
      <c r="G245" s="9">
        <v>133390035</v>
      </c>
      <c r="H245" s="1">
        <v>95</v>
      </c>
      <c r="I245" s="1">
        <v>67</v>
      </c>
      <c r="J245" s="5">
        <v>48.2</v>
      </c>
      <c r="K245" s="1" t="s">
        <v>20</v>
      </c>
      <c r="L245" s="1" t="s">
        <v>19</v>
      </c>
      <c r="M245" s="10">
        <f t="shared" si="27"/>
        <v>2767428.1120331949</v>
      </c>
      <c r="N245" s="10">
        <f t="shared" si="28"/>
        <v>1404105.6315789474</v>
      </c>
      <c r="O245" s="1">
        <f t="shared" si="29"/>
        <v>4</v>
      </c>
      <c r="P245" s="1">
        <f t="shared" si="30"/>
        <v>4</v>
      </c>
      <c r="Q245" s="1">
        <f t="shared" si="31"/>
        <v>0</v>
      </c>
      <c r="R245" s="6">
        <f t="shared" si="32"/>
        <v>0.5864197530864198</v>
      </c>
      <c r="S245" s="8">
        <f t="shared" si="33"/>
        <v>81.544925222204157</v>
      </c>
      <c r="T245" s="8">
        <f t="shared" si="34"/>
        <v>13.455074777795843</v>
      </c>
      <c r="U245" t="str">
        <f t="shared" si="35"/>
        <v>Mid</v>
      </c>
    </row>
    <row r="246" spans="1:21">
      <c r="A246" s="1">
        <v>139</v>
      </c>
      <c r="B246" s="2">
        <v>2008</v>
      </c>
      <c r="C246" s="1" t="s">
        <v>33</v>
      </c>
      <c r="D246" s="1" t="s">
        <v>34</v>
      </c>
      <c r="E246" s="1" t="s">
        <v>26</v>
      </c>
      <c r="F246" s="1" t="s">
        <v>35</v>
      </c>
      <c r="G246" s="9">
        <v>121189332</v>
      </c>
      <c r="H246" s="1">
        <v>89</v>
      </c>
      <c r="I246" s="1">
        <v>74</v>
      </c>
      <c r="J246" s="5">
        <v>37.799999999999997</v>
      </c>
      <c r="K246" s="1" t="s">
        <v>20</v>
      </c>
      <c r="L246" s="1" t="s">
        <v>19</v>
      </c>
      <c r="M246" s="10">
        <f t="shared" si="27"/>
        <v>3206066.9841269841</v>
      </c>
      <c r="N246" s="10">
        <f t="shared" si="28"/>
        <v>1361677.8876404495</v>
      </c>
      <c r="O246" s="1">
        <f t="shared" si="29"/>
        <v>5</v>
      </c>
      <c r="P246" s="1">
        <f t="shared" si="30"/>
        <v>7</v>
      </c>
      <c r="Q246" s="1">
        <f t="shared" si="31"/>
        <v>-2</v>
      </c>
      <c r="R246" s="6">
        <f t="shared" si="32"/>
        <v>0.54601226993865026</v>
      </c>
      <c r="S246" s="8">
        <f t="shared" si="33"/>
        <v>80.479742050861574</v>
      </c>
      <c r="T246" s="8">
        <f t="shared" si="34"/>
        <v>8.5202579491384256</v>
      </c>
      <c r="U246" t="str">
        <f t="shared" si="35"/>
        <v>Mid</v>
      </c>
    </row>
    <row r="247" spans="1:21">
      <c r="A247" s="1">
        <v>321</v>
      </c>
      <c r="B247" s="2">
        <v>2008</v>
      </c>
      <c r="C247" s="1" t="s">
        <v>49</v>
      </c>
      <c r="D247" s="1" t="s">
        <v>50</v>
      </c>
      <c r="E247" s="1" t="s">
        <v>26</v>
      </c>
      <c r="F247" s="1" t="s">
        <v>46</v>
      </c>
      <c r="G247" s="9">
        <v>119216333</v>
      </c>
      <c r="H247" s="1">
        <v>100</v>
      </c>
      <c r="I247" s="1">
        <v>62</v>
      </c>
      <c r="J247" s="5">
        <v>26.1</v>
      </c>
      <c r="K247" s="1" t="s">
        <v>20</v>
      </c>
      <c r="L247" s="1" t="s">
        <v>19</v>
      </c>
      <c r="M247" s="10">
        <f t="shared" si="27"/>
        <v>4567675.5938697318</v>
      </c>
      <c r="N247" s="10">
        <f t="shared" si="28"/>
        <v>1192163.33</v>
      </c>
      <c r="O247" s="1">
        <f t="shared" si="29"/>
        <v>6</v>
      </c>
      <c r="P247" s="1">
        <f t="shared" si="30"/>
        <v>1</v>
      </c>
      <c r="Q247" s="1">
        <f t="shared" si="31"/>
        <v>5</v>
      </c>
      <c r="R247" s="6">
        <f t="shared" si="32"/>
        <v>0.61728395061728392</v>
      </c>
      <c r="S247" s="8">
        <f t="shared" si="33"/>
        <v>80.30748924445561</v>
      </c>
      <c r="T247" s="8">
        <f t="shared" si="34"/>
        <v>19.69251075554439</v>
      </c>
      <c r="U247" t="str">
        <f t="shared" si="35"/>
        <v>Mid</v>
      </c>
    </row>
    <row r="248" spans="1:21">
      <c r="A248" s="1">
        <v>347</v>
      </c>
      <c r="B248" s="2">
        <v>2008</v>
      </c>
      <c r="C248" s="1" t="s">
        <v>51</v>
      </c>
      <c r="D248" s="1" t="s">
        <v>52</v>
      </c>
      <c r="E248" s="1" t="s">
        <v>17</v>
      </c>
      <c r="F248" s="1" t="s">
        <v>18</v>
      </c>
      <c r="G248" s="9">
        <v>118588536</v>
      </c>
      <c r="H248" s="1">
        <v>84</v>
      </c>
      <c r="I248" s="1">
        <v>78</v>
      </c>
      <c r="J248" s="5">
        <v>44.9</v>
      </c>
      <c r="K248" s="1" t="s">
        <v>20</v>
      </c>
      <c r="L248" s="1" t="s">
        <v>19</v>
      </c>
      <c r="M248" s="10">
        <f t="shared" si="27"/>
        <v>2641170.0668151448</v>
      </c>
      <c r="N248" s="10">
        <f t="shared" si="28"/>
        <v>1411768.2857142857</v>
      </c>
      <c r="O248" s="1">
        <f t="shared" si="29"/>
        <v>7</v>
      </c>
      <c r="P248" s="1">
        <f t="shared" si="30"/>
        <v>14</v>
      </c>
      <c r="Q248" s="1">
        <f t="shared" si="31"/>
        <v>-7</v>
      </c>
      <c r="R248" s="6">
        <f t="shared" si="32"/>
        <v>0.51851851851851849</v>
      </c>
      <c r="S248" s="8">
        <f t="shared" si="33"/>
        <v>80.252679386415508</v>
      </c>
      <c r="T248" s="8">
        <f t="shared" si="34"/>
        <v>3.7473206135844919</v>
      </c>
      <c r="U248" t="str">
        <f t="shared" si="35"/>
        <v>Mid</v>
      </c>
    </row>
    <row r="249" spans="1:21">
      <c r="A249" s="1">
        <v>113</v>
      </c>
      <c r="B249" s="2">
        <v>2008</v>
      </c>
      <c r="C249" s="1" t="s">
        <v>30</v>
      </c>
      <c r="D249" s="1" t="s">
        <v>31</v>
      </c>
      <c r="E249" s="1" t="s">
        <v>17</v>
      </c>
      <c r="F249" s="1" t="s">
        <v>32</v>
      </c>
      <c r="G249" s="9">
        <v>118345833</v>
      </c>
      <c r="H249" s="1">
        <v>97</v>
      </c>
      <c r="I249" s="1">
        <v>64</v>
      </c>
      <c r="J249" s="5">
        <v>45.6</v>
      </c>
      <c r="K249" s="1" t="s">
        <v>20</v>
      </c>
      <c r="L249" s="1" t="s">
        <v>19</v>
      </c>
      <c r="M249" s="10">
        <f t="shared" si="27"/>
        <v>2595303.3552631577</v>
      </c>
      <c r="N249" s="10">
        <f t="shared" si="28"/>
        <v>1220060.1340206186</v>
      </c>
      <c r="O249" s="1">
        <f t="shared" si="29"/>
        <v>8</v>
      </c>
      <c r="P249" s="1">
        <f t="shared" si="30"/>
        <v>2</v>
      </c>
      <c r="Q249" s="1">
        <f t="shared" si="31"/>
        <v>6</v>
      </c>
      <c r="R249" s="6">
        <f t="shared" si="32"/>
        <v>0.60248447204968947</v>
      </c>
      <c r="S249" s="8">
        <f t="shared" si="33"/>
        <v>80.231490185167488</v>
      </c>
      <c r="T249" s="8">
        <f t="shared" si="34"/>
        <v>16.768509814832512</v>
      </c>
      <c r="U249" t="str">
        <f t="shared" si="35"/>
        <v>Mid</v>
      </c>
    </row>
    <row r="250" spans="1:21">
      <c r="A250" s="1">
        <v>633</v>
      </c>
      <c r="B250" s="2">
        <v>2008</v>
      </c>
      <c r="C250" s="1" t="s">
        <v>73</v>
      </c>
      <c r="D250" s="1" t="s">
        <v>74</v>
      </c>
      <c r="E250" s="1" t="s">
        <v>26</v>
      </c>
      <c r="F250" s="1" t="s">
        <v>46</v>
      </c>
      <c r="G250" s="9">
        <v>117666482</v>
      </c>
      <c r="H250" s="1">
        <v>61</v>
      </c>
      <c r="I250" s="1">
        <v>101</v>
      </c>
      <c r="J250" s="5">
        <v>14.2</v>
      </c>
      <c r="K250" s="1" t="s">
        <v>19</v>
      </c>
      <c r="L250" s="1" t="s">
        <v>19</v>
      </c>
      <c r="M250" s="10">
        <f t="shared" si="27"/>
        <v>8286371.9718309864</v>
      </c>
      <c r="N250" s="10">
        <f t="shared" si="28"/>
        <v>1928958.7213114754</v>
      </c>
      <c r="O250" s="1">
        <f t="shared" si="29"/>
        <v>9</v>
      </c>
      <c r="P250" s="1">
        <f t="shared" si="30"/>
        <v>29</v>
      </c>
      <c r="Q250" s="1">
        <f t="shared" si="31"/>
        <v>-20</v>
      </c>
      <c r="R250" s="6">
        <f t="shared" si="32"/>
        <v>0.37654320987654322</v>
      </c>
      <c r="S250" s="8">
        <f t="shared" si="33"/>
        <v>80.17217940179421</v>
      </c>
      <c r="T250" s="8">
        <f t="shared" si="34"/>
        <v>-19.17217940179421</v>
      </c>
      <c r="U250" t="str">
        <f t="shared" si="35"/>
        <v>Mid</v>
      </c>
    </row>
    <row r="251" spans="1:21">
      <c r="A251" s="1">
        <v>35</v>
      </c>
      <c r="B251" s="2">
        <v>2008</v>
      </c>
      <c r="C251" s="1" t="s">
        <v>21</v>
      </c>
      <c r="D251" s="1" t="s">
        <v>22</v>
      </c>
      <c r="E251" s="1" t="s">
        <v>17</v>
      </c>
      <c r="F251" s="1" t="s">
        <v>23</v>
      </c>
      <c r="G251" s="9">
        <v>102365683</v>
      </c>
      <c r="H251" s="1">
        <v>72</v>
      </c>
      <c r="I251" s="1">
        <v>90</v>
      </c>
      <c r="J251" s="5">
        <v>29.1</v>
      </c>
      <c r="K251" s="1" t="s">
        <v>19</v>
      </c>
      <c r="L251" s="1" t="s">
        <v>19</v>
      </c>
      <c r="M251" s="10">
        <f t="shared" si="27"/>
        <v>3517721.0652920962</v>
      </c>
      <c r="N251" s="10">
        <f t="shared" si="28"/>
        <v>1421745.5972222222</v>
      </c>
      <c r="O251" s="1">
        <f t="shared" si="29"/>
        <v>10</v>
      </c>
      <c r="P251" s="1">
        <f t="shared" si="30"/>
        <v>24</v>
      </c>
      <c r="Q251" s="1">
        <f t="shared" si="31"/>
        <v>-14</v>
      </c>
      <c r="R251" s="6">
        <f t="shared" si="32"/>
        <v>0.44444444444444442</v>
      </c>
      <c r="S251" s="8">
        <f t="shared" si="33"/>
        <v>78.836342146933134</v>
      </c>
      <c r="T251" s="8">
        <f t="shared" si="34"/>
        <v>-6.8363421469331342</v>
      </c>
      <c r="U251" t="str">
        <f t="shared" si="35"/>
        <v>Mid</v>
      </c>
    </row>
    <row r="252" spans="1:21">
      <c r="A252" s="1">
        <v>659</v>
      </c>
      <c r="B252" s="2">
        <v>2008</v>
      </c>
      <c r="C252" s="1" t="s">
        <v>75</v>
      </c>
      <c r="D252" s="1" t="s">
        <v>76</v>
      </c>
      <c r="E252" s="1" t="s">
        <v>17</v>
      </c>
      <c r="F252" s="1" t="s">
        <v>32</v>
      </c>
      <c r="G252" s="9">
        <v>99624449</v>
      </c>
      <c r="H252" s="1">
        <v>86</v>
      </c>
      <c r="I252" s="1">
        <v>76</v>
      </c>
      <c r="J252" s="5">
        <v>43.1</v>
      </c>
      <c r="K252" s="1" t="s">
        <v>19</v>
      </c>
      <c r="L252" s="1" t="s">
        <v>19</v>
      </c>
      <c r="M252" s="10">
        <f t="shared" si="27"/>
        <v>2311472.1345707658</v>
      </c>
      <c r="N252" s="10">
        <f t="shared" si="28"/>
        <v>1158423.8255813953</v>
      </c>
      <c r="O252" s="1">
        <f t="shared" si="29"/>
        <v>11</v>
      </c>
      <c r="P252" s="1">
        <f t="shared" si="30"/>
        <v>11</v>
      </c>
      <c r="Q252" s="1">
        <f t="shared" si="31"/>
        <v>0</v>
      </c>
      <c r="R252" s="6">
        <f t="shared" si="32"/>
        <v>0.53086419753086422</v>
      </c>
      <c r="S252" s="8">
        <f t="shared" si="33"/>
        <v>78.597018533735437</v>
      </c>
      <c r="T252" s="8">
        <f t="shared" si="34"/>
        <v>7.4029814662645634</v>
      </c>
      <c r="U252" t="str">
        <f t="shared" si="35"/>
        <v>Mid</v>
      </c>
    </row>
    <row r="253" spans="1:21">
      <c r="A253" s="1">
        <v>529</v>
      </c>
      <c r="B253" s="2">
        <v>2008</v>
      </c>
      <c r="C253" s="1" t="s">
        <v>65</v>
      </c>
      <c r="D253" s="1" t="s">
        <v>66</v>
      </c>
      <c r="E253" s="1" t="s">
        <v>17</v>
      </c>
      <c r="F253" s="1" t="s">
        <v>23</v>
      </c>
      <c r="G253" s="9">
        <v>98269880</v>
      </c>
      <c r="H253" s="1">
        <v>92</v>
      </c>
      <c r="I253" s="1">
        <v>70</v>
      </c>
      <c r="J253" s="5">
        <v>52.2</v>
      </c>
      <c r="K253" s="1" t="s">
        <v>20</v>
      </c>
      <c r="L253" s="1" t="s">
        <v>20</v>
      </c>
      <c r="M253" s="10">
        <f t="shared" si="27"/>
        <v>1882564.7509578543</v>
      </c>
      <c r="N253" s="10">
        <f t="shared" si="28"/>
        <v>1068150.8695652173</v>
      </c>
      <c r="O253" s="1">
        <f t="shared" si="29"/>
        <v>12</v>
      </c>
      <c r="P253" s="1">
        <f t="shared" si="30"/>
        <v>5</v>
      </c>
      <c r="Q253" s="1">
        <f t="shared" si="31"/>
        <v>7</v>
      </c>
      <c r="R253" s="6">
        <f t="shared" si="32"/>
        <v>0.5679012345679012</v>
      </c>
      <c r="S253" s="8">
        <f t="shared" si="33"/>
        <v>78.478757798823494</v>
      </c>
      <c r="T253" s="8">
        <f t="shared" si="34"/>
        <v>13.521242201176506</v>
      </c>
      <c r="U253" t="str">
        <f t="shared" si="35"/>
        <v>Mid</v>
      </c>
    </row>
    <row r="254" spans="1:21">
      <c r="A254" s="1">
        <v>737</v>
      </c>
      <c r="B254" s="2">
        <v>2008</v>
      </c>
      <c r="C254" s="1" t="s">
        <v>81</v>
      </c>
      <c r="D254" s="1" t="s">
        <v>82</v>
      </c>
      <c r="E254" s="1" t="s">
        <v>26</v>
      </c>
      <c r="F254" s="1" t="s">
        <v>27</v>
      </c>
      <c r="G254" s="9">
        <v>97793900</v>
      </c>
      <c r="H254" s="1">
        <v>86</v>
      </c>
      <c r="I254" s="1">
        <v>76</v>
      </c>
      <c r="J254" s="5">
        <v>47.6</v>
      </c>
      <c r="K254" s="1" t="s">
        <v>19</v>
      </c>
      <c r="L254" s="1" t="s">
        <v>19</v>
      </c>
      <c r="M254" s="10">
        <f t="shared" si="27"/>
        <v>2054493.6974789915</v>
      </c>
      <c r="N254" s="10">
        <f t="shared" si="28"/>
        <v>1137138.3720930233</v>
      </c>
      <c r="O254" s="1">
        <f t="shared" si="29"/>
        <v>13</v>
      </c>
      <c r="P254" s="1">
        <f t="shared" si="30"/>
        <v>11</v>
      </c>
      <c r="Q254" s="1">
        <f t="shared" si="31"/>
        <v>2</v>
      </c>
      <c r="R254" s="6">
        <f t="shared" si="32"/>
        <v>0.53086419753086422</v>
      </c>
      <c r="S254" s="8">
        <f t="shared" si="33"/>
        <v>78.437202333872364</v>
      </c>
      <c r="T254" s="8">
        <f t="shared" si="34"/>
        <v>7.5627976661276364</v>
      </c>
      <c r="U254" t="str">
        <f t="shared" si="35"/>
        <v>Mid</v>
      </c>
    </row>
    <row r="255" spans="1:21">
      <c r="A255" s="1">
        <v>269</v>
      </c>
      <c r="B255" s="2">
        <v>2008</v>
      </c>
      <c r="C255" s="1" t="s">
        <v>44</v>
      </c>
      <c r="D255" s="1" t="s">
        <v>45</v>
      </c>
      <c r="E255" s="1" t="s">
        <v>26</v>
      </c>
      <c r="F255" s="1" t="s">
        <v>46</v>
      </c>
      <c r="G255" s="9">
        <v>88930414</v>
      </c>
      <c r="H255" s="1">
        <v>86</v>
      </c>
      <c r="I255" s="1">
        <v>75</v>
      </c>
      <c r="J255" s="5">
        <v>36.9</v>
      </c>
      <c r="K255" s="1" t="s">
        <v>19</v>
      </c>
      <c r="L255" s="1" t="s">
        <v>19</v>
      </c>
      <c r="M255" s="10">
        <f t="shared" si="27"/>
        <v>2410038.3197831977</v>
      </c>
      <c r="N255" s="10">
        <f t="shared" si="28"/>
        <v>1034074.5813953489</v>
      </c>
      <c r="O255" s="1">
        <f t="shared" si="29"/>
        <v>14</v>
      </c>
      <c r="P255" s="1">
        <f t="shared" si="30"/>
        <v>11</v>
      </c>
      <c r="Q255" s="1">
        <f t="shared" si="31"/>
        <v>3</v>
      </c>
      <c r="R255" s="6">
        <f t="shared" si="32"/>
        <v>0.53416149068322982</v>
      </c>
      <c r="S255" s="8">
        <f t="shared" si="33"/>
        <v>77.663375110422166</v>
      </c>
      <c r="T255" s="8">
        <f t="shared" si="34"/>
        <v>8.3366248895778341</v>
      </c>
      <c r="U255" t="str">
        <f t="shared" si="35"/>
        <v>Mid</v>
      </c>
    </row>
    <row r="256" spans="1:21">
      <c r="A256" s="1">
        <v>399</v>
      </c>
      <c r="B256" s="2">
        <v>2008</v>
      </c>
      <c r="C256" s="1" t="s">
        <v>55</v>
      </c>
      <c r="D256" s="1" t="s">
        <v>56</v>
      </c>
      <c r="E256" s="1" t="s">
        <v>17</v>
      </c>
      <c r="F256" s="1" t="s">
        <v>32</v>
      </c>
      <c r="G256" s="9">
        <v>80937499</v>
      </c>
      <c r="H256" s="1">
        <v>90</v>
      </c>
      <c r="I256" s="1">
        <v>72</v>
      </c>
      <c r="J256" s="5">
        <v>38.6</v>
      </c>
      <c r="K256" s="1" t="s">
        <v>20</v>
      </c>
      <c r="L256" s="1" t="s">
        <v>19</v>
      </c>
      <c r="M256" s="10">
        <f t="shared" si="27"/>
        <v>2096826.3989637305</v>
      </c>
      <c r="N256" s="10">
        <f t="shared" si="28"/>
        <v>899305.54444444447</v>
      </c>
      <c r="O256" s="1">
        <f t="shared" si="29"/>
        <v>15</v>
      </c>
      <c r="P256" s="1">
        <f t="shared" si="30"/>
        <v>6</v>
      </c>
      <c r="Q256" s="1">
        <f t="shared" si="31"/>
        <v>9</v>
      </c>
      <c r="R256" s="6">
        <f t="shared" si="32"/>
        <v>0.55555555555555558</v>
      </c>
      <c r="S256" s="8">
        <f t="shared" si="33"/>
        <v>76.96555314491971</v>
      </c>
      <c r="T256" s="8">
        <f t="shared" si="34"/>
        <v>13.03444685508029</v>
      </c>
      <c r="U256" t="str">
        <f t="shared" si="35"/>
        <v>Mid</v>
      </c>
    </row>
    <row r="257" spans="1:21">
      <c r="A257" s="1">
        <v>191</v>
      </c>
      <c r="B257" s="2">
        <v>2008</v>
      </c>
      <c r="C257" s="1" t="s">
        <v>38</v>
      </c>
      <c r="D257" s="1" t="s">
        <v>39</v>
      </c>
      <c r="E257" s="1" t="s">
        <v>26</v>
      </c>
      <c r="F257" s="1" t="s">
        <v>35</v>
      </c>
      <c r="G257" s="9">
        <v>78970066</v>
      </c>
      <c r="H257" s="1">
        <v>81</v>
      </c>
      <c r="I257" s="1">
        <v>81</v>
      </c>
      <c r="J257" s="5">
        <v>39.4</v>
      </c>
      <c r="K257" s="1" t="s">
        <v>19</v>
      </c>
      <c r="L257" s="1" t="s">
        <v>19</v>
      </c>
      <c r="M257" s="10">
        <f t="shared" si="27"/>
        <v>2004316.3959390863</v>
      </c>
      <c r="N257" s="10">
        <f t="shared" si="28"/>
        <v>974939.08641975303</v>
      </c>
      <c r="O257" s="1">
        <f t="shared" si="29"/>
        <v>16</v>
      </c>
      <c r="P257" s="1">
        <f t="shared" si="30"/>
        <v>17</v>
      </c>
      <c r="Q257" s="1">
        <f t="shared" si="31"/>
        <v>-1</v>
      </c>
      <c r="R257" s="6">
        <f t="shared" si="32"/>
        <v>0.5</v>
      </c>
      <c r="S257" s="8">
        <f t="shared" si="33"/>
        <v>76.793786278506843</v>
      </c>
      <c r="T257" s="8">
        <f t="shared" si="34"/>
        <v>4.2062137214931568</v>
      </c>
      <c r="U257" t="str">
        <f t="shared" si="35"/>
        <v>Low</v>
      </c>
    </row>
    <row r="258" spans="1:21">
      <c r="A258" s="1">
        <v>607</v>
      </c>
      <c r="B258" s="2">
        <v>2008</v>
      </c>
      <c r="C258" s="1" t="s">
        <v>71</v>
      </c>
      <c r="D258" s="1" t="s">
        <v>72</v>
      </c>
      <c r="E258" s="1" t="s">
        <v>17</v>
      </c>
      <c r="F258" s="1" t="s">
        <v>18</v>
      </c>
      <c r="G258" s="9">
        <v>76594500</v>
      </c>
      <c r="H258" s="1">
        <v>72</v>
      </c>
      <c r="I258" s="1">
        <v>90</v>
      </c>
      <c r="J258" s="5">
        <v>26.4</v>
      </c>
      <c r="K258" s="1" t="s">
        <v>19</v>
      </c>
      <c r="L258" s="1" t="s">
        <v>19</v>
      </c>
      <c r="M258" s="10">
        <f t="shared" ref="M258:M321" si="36">G258/J258</f>
        <v>2901306.8181818184</v>
      </c>
      <c r="N258" s="10">
        <f t="shared" ref="N258:N321" si="37">G258/H258</f>
        <v>1063812.5</v>
      </c>
      <c r="O258" s="1">
        <f t="shared" si="29"/>
        <v>17</v>
      </c>
      <c r="P258" s="1">
        <f t="shared" si="30"/>
        <v>24</v>
      </c>
      <c r="Q258" s="1">
        <f t="shared" si="31"/>
        <v>-7</v>
      </c>
      <c r="R258" s="6">
        <f t="shared" si="32"/>
        <v>0.44444444444444442</v>
      </c>
      <c r="S258" s="8">
        <f t="shared" si="33"/>
        <v>76.586387333903943</v>
      </c>
      <c r="T258" s="8">
        <f t="shared" si="34"/>
        <v>-4.5863873339039429</v>
      </c>
      <c r="U258" t="str">
        <f t="shared" si="35"/>
        <v>Low</v>
      </c>
    </row>
    <row r="259" spans="1:21">
      <c r="A259" s="1">
        <v>165</v>
      </c>
      <c r="B259" s="2">
        <v>2008</v>
      </c>
      <c r="C259" s="1" t="s">
        <v>36</v>
      </c>
      <c r="D259" s="1" t="s">
        <v>37</v>
      </c>
      <c r="E259" s="1" t="s">
        <v>17</v>
      </c>
      <c r="F259" s="1" t="s">
        <v>32</v>
      </c>
      <c r="G259" s="9">
        <v>74117695</v>
      </c>
      <c r="H259" s="1">
        <v>74</v>
      </c>
      <c r="I259" s="1">
        <v>88</v>
      </c>
      <c r="J259" s="5">
        <v>25.2</v>
      </c>
      <c r="K259" s="1" t="s">
        <v>19</v>
      </c>
      <c r="L259" s="1" t="s">
        <v>19</v>
      </c>
      <c r="M259" s="10">
        <f t="shared" si="36"/>
        <v>2941178.3730158731</v>
      </c>
      <c r="N259" s="10">
        <f t="shared" si="37"/>
        <v>1001590.472972973</v>
      </c>
      <c r="O259" s="1">
        <f t="shared" ref="O259:O322" si="38">COUNTIFS($B$2:$B$1000, B259, $G$2:$G$1000, "&gt;"&amp;G259) + 1</f>
        <v>18</v>
      </c>
      <c r="P259" s="1">
        <f t="shared" ref="P259:P322" si="39">COUNTIFS($B$2:$B$1000, B259, $H$2:$H$1000, "&gt;"&amp;H259) + 1</f>
        <v>21</v>
      </c>
      <c r="Q259" s="1">
        <f t="shared" ref="Q259:Q322" si="40">O259-P259</f>
        <v>-3</v>
      </c>
      <c r="R259" s="6">
        <f t="shared" ref="R259:R322" si="41">H259/(H259+I259)</f>
        <v>0.4567901234567901</v>
      </c>
      <c r="S259" s="8">
        <f t="shared" ref="S259:S322" si="42">_xlfn.FORECAST.LINEAR(G259, $H$2:$H$781, $G$2:$G$781)</f>
        <v>76.370149711801574</v>
      </c>
      <c r="T259" s="8">
        <f t="shared" ref="T259:T322" si="43">H259-S259</f>
        <v>-2.3701497118015737</v>
      </c>
      <c r="U259" t="str">
        <f t="shared" ref="U259:U322" si="44">IF(G259&lt;80000000,"Low",
 IF(G259&lt;150000000,"Mid","High"))</f>
        <v>Low</v>
      </c>
    </row>
    <row r="260" spans="1:21">
      <c r="A260" s="1">
        <v>581</v>
      </c>
      <c r="B260" s="2">
        <v>2008</v>
      </c>
      <c r="C260" s="1" t="s">
        <v>69</v>
      </c>
      <c r="D260" s="1" t="s">
        <v>70</v>
      </c>
      <c r="E260" s="1" t="s">
        <v>17</v>
      </c>
      <c r="F260" s="1" t="s">
        <v>18</v>
      </c>
      <c r="G260" s="9">
        <v>73677616</v>
      </c>
      <c r="H260" s="1">
        <v>63</v>
      </c>
      <c r="I260" s="1">
        <v>99</v>
      </c>
      <c r="J260" s="5">
        <v>16.5</v>
      </c>
      <c r="K260" s="1" t="s">
        <v>19</v>
      </c>
      <c r="L260" s="1" t="s">
        <v>19</v>
      </c>
      <c r="M260" s="10">
        <f t="shared" si="36"/>
        <v>4465310.0606060605</v>
      </c>
      <c r="N260" s="10">
        <f t="shared" si="37"/>
        <v>1169485.9682539683</v>
      </c>
      <c r="O260" s="1">
        <f t="shared" si="38"/>
        <v>19</v>
      </c>
      <c r="P260" s="1">
        <f t="shared" si="39"/>
        <v>28</v>
      </c>
      <c r="Q260" s="1">
        <f t="shared" si="40"/>
        <v>-9</v>
      </c>
      <c r="R260" s="6">
        <f t="shared" si="41"/>
        <v>0.3888888888888889</v>
      </c>
      <c r="S260" s="8">
        <f t="shared" si="42"/>
        <v>76.331728585997496</v>
      </c>
      <c r="T260" s="8">
        <f t="shared" si="43"/>
        <v>-13.331728585997496</v>
      </c>
      <c r="U260" t="str">
        <f t="shared" si="44"/>
        <v>Low</v>
      </c>
    </row>
    <row r="261" spans="1:21">
      <c r="A261" s="1">
        <v>217</v>
      </c>
      <c r="B261" s="2">
        <v>2008</v>
      </c>
      <c r="C261" s="1" t="s">
        <v>40</v>
      </c>
      <c r="D261" s="1" t="s">
        <v>41</v>
      </c>
      <c r="E261" s="1" t="s">
        <v>17</v>
      </c>
      <c r="F261" s="1" t="s">
        <v>18</v>
      </c>
      <c r="G261" s="9">
        <v>68655500</v>
      </c>
      <c r="H261" s="1">
        <v>74</v>
      </c>
      <c r="I261" s="1">
        <v>88</v>
      </c>
      <c r="J261" s="5">
        <v>24.5</v>
      </c>
      <c r="K261" s="1" t="s">
        <v>19</v>
      </c>
      <c r="L261" s="1" t="s">
        <v>19</v>
      </c>
      <c r="M261" s="10">
        <f t="shared" si="36"/>
        <v>2802265.3061224488</v>
      </c>
      <c r="N261" s="10">
        <f t="shared" si="37"/>
        <v>927777.02702702698</v>
      </c>
      <c r="O261" s="1">
        <f t="shared" si="38"/>
        <v>20</v>
      </c>
      <c r="P261" s="1">
        <f t="shared" si="39"/>
        <v>21</v>
      </c>
      <c r="Q261" s="1">
        <f t="shared" si="40"/>
        <v>-1</v>
      </c>
      <c r="R261" s="6">
        <f t="shared" si="41"/>
        <v>0.4567901234567901</v>
      </c>
      <c r="S261" s="8">
        <f t="shared" si="42"/>
        <v>75.893272420993696</v>
      </c>
      <c r="T261" s="8">
        <f t="shared" si="43"/>
        <v>-1.8932724209936964</v>
      </c>
      <c r="U261" t="str">
        <f t="shared" si="44"/>
        <v>Low</v>
      </c>
    </row>
    <row r="262" spans="1:21">
      <c r="A262" s="1">
        <v>711</v>
      </c>
      <c r="B262" s="2">
        <v>2008</v>
      </c>
      <c r="C262" s="1" t="s">
        <v>79</v>
      </c>
      <c r="D262" s="1" t="s">
        <v>80</v>
      </c>
      <c r="E262" s="1" t="s">
        <v>26</v>
      </c>
      <c r="F262" s="1" t="s">
        <v>46</v>
      </c>
      <c r="G262" s="9">
        <v>67712326</v>
      </c>
      <c r="H262" s="1">
        <v>79</v>
      </c>
      <c r="I262" s="1">
        <v>83</v>
      </c>
      <c r="J262" s="5">
        <v>33.9</v>
      </c>
      <c r="K262" s="1" t="s">
        <v>19</v>
      </c>
      <c r="L262" s="1" t="s">
        <v>19</v>
      </c>
      <c r="M262" s="10">
        <f t="shared" si="36"/>
        <v>1997413.7463126844</v>
      </c>
      <c r="N262" s="10">
        <f t="shared" si="37"/>
        <v>857118.05063291139</v>
      </c>
      <c r="O262" s="1">
        <f t="shared" si="38"/>
        <v>21</v>
      </c>
      <c r="P262" s="1">
        <f t="shared" si="39"/>
        <v>18</v>
      </c>
      <c r="Q262" s="1">
        <f t="shared" si="40"/>
        <v>3</v>
      </c>
      <c r="R262" s="6">
        <f t="shared" si="41"/>
        <v>0.48765432098765432</v>
      </c>
      <c r="S262" s="8">
        <f t="shared" si="42"/>
        <v>75.810928553394604</v>
      </c>
      <c r="T262" s="8">
        <f t="shared" si="43"/>
        <v>3.1890714466053964</v>
      </c>
      <c r="U262" t="str">
        <f t="shared" si="44"/>
        <v>Low</v>
      </c>
    </row>
    <row r="263" spans="1:21">
      <c r="A263" s="1">
        <v>61</v>
      </c>
      <c r="B263" s="2">
        <v>2008</v>
      </c>
      <c r="C263" s="1" t="s">
        <v>24</v>
      </c>
      <c r="D263" s="1" t="s">
        <v>25</v>
      </c>
      <c r="E263" s="1" t="s">
        <v>26</v>
      </c>
      <c r="F263" s="1" t="s">
        <v>27</v>
      </c>
      <c r="G263" s="9">
        <v>67196246</v>
      </c>
      <c r="H263" s="1">
        <v>68</v>
      </c>
      <c r="I263" s="1">
        <v>93</v>
      </c>
      <c r="J263" s="5">
        <v>21.5</v>
      </c>
      <c r="K263" s="1" t="s">
        <v>19</v>
      </c>
      <c r="L263" s="1" t="s">
        <v>19</v>
      </c>
      <c r="M263" s="10">
        <f t="shared" si="36"/>
        <v>3125406.7906976743</v>
      </c>
      <c r="N263" s="10">
        <f t="shared" si="37"/>
        <v>988180.0882352941</v>
      </c>
      <c r="O263" s="1">
        <f t="shared" si="38"/>
        <v>22</v>
      </c>
      <c r="P263" s="1">
        <f t="shared" si="39"/>
        <v>26</v>
      </c>
      <c r="Q263" s="1">
        <f t="shared" si="40"/>
        <v>-4</v>
      </c>
      <c r="R263" s="6">
        <f t="shared" si="41"/>
        <v>0.42236024844720499</v>
      </c>
      <c r="S263" s="8">
        <f t="shared" si="42"/>
        <v>75.7658721553275</v>
      </c>
      <c r="T263" s="8">
        <f t="shared" si="43"/>
        <v>-7.7658721553275001</v>
      </c>
      <c r="U263" t="str">
        <f t="shared" si="44"/>
        <v>Low</v>
      </c>
    </row>
    <row r="264" spans="1:21">
      <c r="A264" s="1">
        <v>9</v>
      </c>
      <c r="B264" s="2">
        <v>2008</v>
      </c>
      <c r="C264" s="1" t="s">
        <v>15</v>
      </c>
      <c r="D264" s="1" t="s">
        <v>16</v>
      </c>
      <c r="E264" s="1" t="s">
        <v>17</v>
      </c>
      <c r="F264" s="1" t="s">
        <v>18</v>
      </c>
      <c r="G264" s="9">
        <v>66202712</v>
      </c>
      <c r="H264" s="1">
        <v>82</v>
      </c>
      <c r="I264" s="1">
        <v>80</v>
      </c>
      <c r="J264" s="5">
        <v>43.7</v>
      </c>
      <c r="K264" s="1" t="s">
        <v>19</v>
      </c>
      <c r="L264" s="1" t="s">
        <v>19</v>
      </c>
      <c r="M264" s="10">
        <f t="shared" si="36"/>
        <v>1514936.2013729976</v>
      </c>
      <c r="N264" s="10">
        <f t="shared" si="37"/>
        <v>807350.14634146343</v>
      </c>
      <c r="O264" s="1">
        <f t="shared" si="38"/>
        <v>23</v>
      </c>
      <c r="P264" s="1">
        <f t="shared" si="39"/>
        <v>16</v>
      </c>
      <c r="Q264" s="1">
        <f t="shared" si="40"/>
        <v>7</v>
      </c>
      <c r="R264" s="6">
        <f t="shared" si="41"/>
        <v>0.50617283950617287</v>
      </c>
      <c r="S264" s="8">
        <f t="shared" si="42"/>
        <v>75.679131604643118</v>
      </c>
      <c r="T264" s="8">
        <f t="shared" si="43"/>
        <v>6.3208683953568823</v>
      </c>
      <c r="U264" t="str">
        <f t="shared" si="44"/>
        <v>Low</v>
      </c>
    </row>
    <row r="265" spans="1:21">
      <c r="A265" s="1">
        <v>295</v>
      </c>
      <c r="B265" s="2">
        <v>2008</v>
      </c>
      <c r="C265" s="1" t="s">
        <v>47</v>
      </c>
      <c r="D265" s="1" t="s">
        <v>48</v>
      </c>
      <c r="E265" s="1" t="s">
        <v>26</v>
      </c>
      <c r="F265" s="1" t="s">
        <v>35</v>
      </c>
      <c r="G265" s="9">
        <v>58245500</v>
      </c>
      <c r="H265" s="1">
        <v>75</v>
      </c>
      <c r="I265" s="1">
        <v>87</v>
      </c>
      <c r="J265" s="5">
        <v>35.200000000000003</v>
      </c>
      <c r="K265" s="1" t="s">
        <v>19</v>
      </c>
      <c r="L265" s="1" t="s">
        <v>19</v>
      </c>
      <c r="M265" s="10">
        <f t="shared" si="36"/>
        <v>1654701.7045454544</v>
      </c>
      <c r="N265" s="10">
        <f t="shared" si="37"/>
        <v>776606.66666666663</v>
      </c>
      <c r="O265" s="1">
        <f t="shared" si="38"/>
        <v>24</v>
      </c>
      <c r="P265" s="1">
        <f t="shared" si="39"/>
        <v>19</v>
      </c>
      <c r="Q265" s="1">
        <f t="shared" si="40"/>
        <v>5</v>
      </c>
      <c r="R265" s="6">
        <f t="shared" si="41"/>
        <v>0.46296296296296297</v>
      </c>
      <c r="S265" s="8">
        <f t="shared" si="42"/>
        <v>74.984426691884792</v>
      </c>
      <c r="T265" s="8">
        <f t="shared" si="43"/>
        <v>1.5573308115207851E-2</v>
      </c>
      <c r="U265" t="str">
        <f t="shared" si="44"/>
        <v>Low</v>
      </c>
    </row>
    <row r="266" spans="1:21">
      <c r="A266" s="1">
        <v>425</v>
      </c>
      <c r="B266" s="2">
        <v>2008</v>
      </c>
      <c r="C266" s="1" t="s">
        <v>57</v>
      </c>
      <c r="D266" s="1" t="s">
        <v>58</v>
      </c>
      <c r="E266" s="1" t="s">
        <v>26</v>
      </c>
      <c r="F266" s="1" t="s">
        <v>35</v>
      </c>
      <c r="G266" s="9">
        <v>56932766</v>
      </c>
      <c r="H266" s="1">
        <v>88</v>
      </c>
      <c r="I266" s="1">
        <v>75</v>
      </c>
      <c r="J266" s="5">
        <v>41.2</v>
      </c>
      <c r="K266" s="1" t="s">
        <v>19</v>
      </c>
      <c r="L266" s="1" t="s">
        <v>19</v>
      </c>
      <c r="M266" s="10">
        <f t="shared" si="36"/>
        <v>1381863.2524271843</v>
      </c>
      <c r="N266" s="10">
        <f t="shared" si="37"/>
        <v>646963.25</v>
      </c>
      <c r="O266" s="1">
        <f t="shared" si="38"/>
        <v>25</v>
      </c>
      <c r="P266" s="1">
        <f t="shared" si="39"/>
        <v>10</v>
      </c>
      <c r="Q266" s="1">
        <f t="shared" si="40"/>
        <v>15</v>
      </c>
      <c r="R266" s="6">
        <f t="shared" si="41"/>
        <v>0.53987730061349692</v>
      </c>
      <c r="S266" s="8">
        <f t="shared" si="42"/>
        <v>74.869818364377011</v>
      </c>
      <c r="T266" s="8">
        <f t="shared" si="43"/>
        <v>13.130181635622989</v>
      </c>
      <c r="U266" t="str">
        <f t="shared" si="44"/>
        <v>Low</v>
      </c>
    </row>
    <row r="267" spans="1:21">
      <c r="A267" s="1">
        <v>763</v>
      </c>
      <c r="B267" s="2">
        <v>2008</v>
      </c>
      <c r="C267" s="1" t="s">
        <v>83</v>
      </c>
      <c r="D267" s="1" t="s">
        <v>84</v>
      </c>
      <c r="E267" s="1" t="s">
        <v>17</v>
      </c>
      <c r="F267" s="1" t="s">
        <v>23</v>
      </c>
      <c r="G267" s="9">
        <v>54961000</v>
      </c>
      <c r="H267" s="1">
        <v>59</v>
      </c>
      <c r="I267" s="1">
        <v>102</v>
      </c>
      <c r="J267" s="5">
        <v>15.7</v>
      </c>
      <c r="K267" s="1" t="s">
        <v>19</v>
      </c>
      <c r="L267" s="1" t="s">
        <v>19</v>
      </c>
      <c r="M267" s="10">
        <f t="shared" si="36"/>
        <v>3500700.6369426753</v>
      </c>
      <c r="N267" s="10">
        <f t="shared" si="37"/>
        <v>931542.37288135593</v>
      </c>
      <c r="O267" s="1">
        <f t="shared" si="38"/>
        <v>26</v>
      </c>
      <c r="P267" s="1">
        <f t="shared" si="39"/>
        <v>30</v>
      </c>
      <c r="Q267" s="1">
        <f t="shared" si="40"/>
        <v>-4</v>
      </c>
      <c r="R267" s="6">
        <f t="shared" si="41"/>
        <v>0.36645962732919257</v>
      </c>
      <c r="S267" s="8">
        <f t="shared" si="42"/>
        <v>74.697673205116473</v>
      </c>
      <c r="T267" s="8">
        <f t="shared" si="43"/>
        <v>-15.697673205116473</v>
      </c>
      <c r="U267" t="str">
        <f t="shared" si="44"/>
        <v>Low</v>
      </c>
    </row>
    <row r="268" spans="1:21">
      <c r="A268" s="1">
        <v>555</v>
      </c>
      <c r="B268" s="2">
        <v>2008</v>
      </c>
      <c r="C268" s="1" t="s">
        <v>67</v>
      </c>
      <c r="D268" s="1" t="s">
        <v>68</v>
      </c>
      <c r="E268" s="1" t="s">
        <v>17</v>
      </c>
      <c r="F268" s="1" t="s">
        <v>32</v>
      </c>
      <c r="G268" s="9">
        <v>48689783</v>
      </c>
      <c r="H268" s="1">
        <v>67</v>
      </c>
      <c r="I268" s="1">
        <v>95</v>
      </c>
      <c r="J268" s="5">
        <v>19.8</v>
      </c>
      <c r="K268" s="1" t="s">
        <v>19</v>
      </c>
      <c r="L268" s="1" t="s">
        <v>19</v>
      </c>
      <c r="M268" s="10">
        <f t="shared" si="36"/>
        <v>2459079.9494949495</v>
      </c>
      <c r="N268" s="10">
        <f t="shared" si="37"/>
        <v>726713.17910447763</v>
      </c>
      <c r="O268" s="1">
        <f t="shared" si="38"/>
        <v>27</v>
      </c>
      <c r="P268" s="1">
        <f t="shared" si="39"/>
        <v>27</v>
      </c>
      <c r="Q268" s="1">
        <f t="shared" si="40"/>
        <v>0</v>
      </c>
      <c r="R268" s="6">
        <f t="shared" si="41"/>
        <v>0.41358024691358025</v>
      </c>
      <c r="S268" s="8">
        <f t="shared" si="42"/>
        <v>74.150164195821077</v>
      </c>
      <c r="T268" s="8">
        <f t="shared" si="43"/>
        <v>-7.1501641958210769</v>
      </c>
      <c r="U268" t="str">
        <f t="shared" si="44"/>
        <v>Low</v>
      </c>
    </row>
    <row r="269" spans="1:21">
      <c r="A269" s="1">
        <v>503</v>
      </c>
      <c r="B269" s="2">
        <v>2008</v>
      </c>
      <c r="C269" s="1" t="s">
        <v>63</v>
      </c>
      <c r="D269" s="1" t="s">
        <v>64</v>
      </c>
      <c r="E269" s="1" t="s">
        <v>26</v>
      </c>
      <c r="F269" s="1" t="s">
        <v>46</v>
      </c>
      <c r="G269" s="9">
        <v>47967126</v>
      </c>
      <c r="H269" s="1">
        <v>75</v>
      </c>
      <c r="I269" s="1">
        <v>86</v>
      </c>
      <c r="J269" s="5">
        <v>23.1</v>
      </c>
      <c r="K269" s="1" t="s">
        <v>19</v>
      </c>
      <c r="L269" s="1" t="s">
        <v>19</v>
      </c>
      <c r="M269" s="10">
        <f t="shared" si="36"/>
        <v>2076498.9610389608</v>
      </c>
      <c r="N269" s="10">
        <f t="shared" si="37"/>
        <v>639561.68000000005</v>
      </c>
      <c r="O269" s="1">
        <f t="shared" si="38"/>
        <v>28</v>
      </c>
      <c r="P269" s="1">
        <f t="shared" si="39"/>
        <v>19</v>
      </c>
      <c r="Q269" s="1">
        <f t="shared" si="40"/>
        <v>9</v>
      </c>
      <c r="R269" s="6">
        <f t="shared" si="41"/>
        <v>0.46583850931677018</v>
      </c>
      <c r="S269" s="8">
        <f t="shared" si="42"/>
        <v>74.087072579292681</v>
      </c>
      <c r="T269" s="8">
        <f t="shared" si="43"/>
        <v>0.91292742070731947</v>
      </c>
      <c r="U269" t="str">
        <f t="shared" si="44"/>
        <v>Low</v>
      </c>
    </row>
    <row r="270" spans="1:21">
      <c r="A270" s="1">
        <v>685</v>
      </c>
      <c r="B270" s="2">
        <v>2008</v>
      </c>
      <c r="C270" s="1" t="s">
        <v>77</v>
      </c>
      <c r="D270" s="1" t="s">
        <v>78</v>
      </c>
      <c r="E270" s="1" t="s">
        <v>26</v>
      </c>
      <c r="F270" s="1" t="s">
        <v>27</v>
      </c>
      <c r="G270" s="9">
        <v>43820597</v>
      </c>
      <c r="H270" s="1">
        <v>97</v>
      </c>
      <c r="I270" s="1">
        <v>65</v>
      </c>
      <c r="J270" s="5">
        <v>53.8</v>
      </c>
      <c r="K270" s="1" t="s">
        <v>20</v>
      </c>
      <c r="L270" s="1" t="s">
        <v>19</v>
      </c>
      <c r="M270" s="10">
        <f t="shared" si="36"/>
        <v>814509.23791821569</v>
      </c>
      <c r="N270" s="10">
        <f t="shared" si="37"/>
        <v>451758.73195876286</v>
      </c>
      <c r="O270" s="1">
        <f t="shared" si="38"/>
        <v>29</v>
      </c>
      <c r="P270" s="1">
        <f t="shared" si="39"/>
        <v>2</v>
      </c>
      <c r="Q270" s="1">
        <f t="shared" si="40"/>
        <v>27</v>
      </c>
      <c r="R270" s="6">
        <f t="shared" si="41"/>
        <v>0.59876543209876543</v>
      </c>
      <c r="S270" s="8">
        <f t="shared" si="42"/>
        <v>73.725059594443849</v>
      </c>
      <c r="T270" s="8">
        <f t="shared" si="43"/>
        <v>23.274940405556151</v>
      </c>
      <c r="U270" t="str">
        <f t="shared" si="44"/>
        <v>Low</v>
      </c>
    </row>
    <row r="271" spans="1:21">
      <c r="A271" s="1">
        <v>373</v>
      </c>
      <c r="B271" s="2">
        <v>2008</v>
      </c>
      <c r="C271" s="1" t="s">
        <v>53</v>
      </c>
      <c r="D271" s="1" t="s">
        <v>54</v>
      </c>
      <c r="E271" s="1" t="s">
        <v>17</v>
      </c>
      <c r="F271" s="1" t="s">
        <v>23</v>
      </c>
      <c r="G271" s="9">
        <v>21811500</v>
      </c>
      <c r="H271" s="1">
        <v>84</v>
      </c>
      <c r="I271" s="1">
        <v>77</v>
      </c>
      <c r="J271" s="5">
        <v>41.7</v>
      </c>
      <c r="K271" s="1" t="s">
        <v>19</v>
      </c>
      <c r="L271" s="1" t="s">
        <v>19</v>
      </c>
      <c r="M271" s="10">
        <f t="shared" si="36"/>
        <v>523057.55395683448</v>
      </c>
      <c r="N271" s="10">
        <f t="shared" si="37"/>
        <v>259660.71428571429</v>
      </c>
      <c r="O271" s="1">
        <f t="shared" si="38"/>
        <v>30</v>
      </c>
      <c r="P271" s="1">
        <f t="shared" si="39"/>
        <v>14</v>
      </c>
      <c r="Q271" s="1">
        <f t="shared" si="40"/>
        <v>16</v>
      </c>
      <c r="R271" s="6">
        <f t="shared" si="41"/>
        <v>0.52173913043478259</v>
      </c>
      <c r="S271" s="8">
        <f t="shared" si="42"/>
        <v>71.80355394506887</v>
      </c>
      <c r="T271" s="8">
        <f t="shared" si="43"/>
        <v>12.19644605493113</v>
      </c>
      <c r="U271" t="str">
        <f t="shared" si="44"/>
        <v>Low</v>
      </c>
    </row>
    <row r="272" spans="1:21">
      <c r="A272" s="1">
        <v>478</v>
      </c>
      <c r="B272" s="2">
        <v>2009</v>
      </c>
      <c r="C272" s="1" t="s">
        <v>61</v>
      </c>
      <c r="D272" s="1" t="s">
        <v>62</v>
      </c>
      <c r="E272" s="1" t="s">
        <v>26</v>
      </c>
      <c r="F272" s="1" t="s">
        <v>27</v>
      </c>
      <c r="G272" s="9">
        <v>201449189</v>
      </c>
      <c r="H272" s="1">
        <v>103</v>
      </c>
      <c r="I272" s="1">
        <v>59</v>
      </c>
      <c r="J272" s="5">
        <v>52.8</v>
      </c>
      <c r="K272" s="1" t="s">
        <v>20</v>
      </c>
      <c r="L272" s="1" t="s">
        <v>20</v>
      </c>
      <c r="M272" s="10">
        <f t="shared" si="36"/>
        <v>3815325.5492424243</v>
      </c>
      <c r="N272" s="10">
        <f t="shared" si="37"/>
        <v>1955817.3689320388</v>
      </c>
      <c r="O272" s="1">
        <f t="shared" si="38"/>
        <v>1</v>
      </c>
      <c r="P272" s="1">
        <f t="shared" si="39"/>
        <v>1</v>
      </c>
      <c r="Q272" s="1">
        <f t="shared" si="40"/>
        <v>0</v>
      </c>
      <c r="R272" s="6">
        <f t="shared" si="41"/>
        <v>0.63580246913580252</v>
      </c>
      <c r="S272" s="8">
        <f t="shared" si="42"/>
        <v>87.486834102095131</v>
      </c>
      <c r="T272" s="8">
        <f t="shared" si="43"/>
        <v>15.513165897904869</v>
      </c>
      <c r="U272" t="str">
        <f t="shared" si="44"/>
        <v>High</v>
      </c>
    </row>
    <row r="273" spans="1:21">
      <c r="A273" s="1">
        <v>452</v>
      </c>
      <c r="B273" s="2">
        <v>2009</v>
      </c>
      <c r="C273" s="1" t="s">
        <v>59</v>
      </c>
      <c r="D273" s="1" t="s">
        <v>60</v>
      </c>
      <c r="E273" s="1" t="s">
        <v>17</v>
      </c>
      <c r="F273" s="1" t="s">
        <v>23</v>
      </c>
      <c r="G273" s="9">
        <v>149373987</v>
      </c>
      <c r="H273" s="1">
        <v>70</v>
      </c>
      <c r="I273" s="1">
        <v>92</v>
      </c>
      <c r="J273" s="5">
        <v>18.600000000000001</v>
      </c>
      <c r="K273" s="1" t="s">
        <v>19</v>
      </c>
      <c r="L273" s="1" t="s">
        <v>19</v>
      </c>
      <c r="M273" s="10">
        <f t="shared" si="36"/>
        <v>8030859.5161290318</v>
      </c>
      <c r="N273" s="10">
        <f t="shared" si="37"/>
        <v>2133914.1</v>
      </c>
      <c r="O273" s="1">
        <f t="shared" si="38"/>
        <v>2</v>
      </c>
      <c r="P273" s="1">
        <f t="shared" si="39"/>
        <v>24</v>
      </c>
      <c r="Q273" s="1">
        <f t="shared" si="40"/>
        <v>-22</v>
      </c>
      <c r="R273" s="6">
        <f t="shared" si="41"/>
        <v>0.43209876543209874</v>
      </c>
      <c r="S273" s="8">
        <f t="shared" si="42"/>
        <v>82.940405194296531</v>
      </c>
      <c r="T273" s="8">
        <f t="shared" si="43"/>
        <v>-12.940405194296531</v>
      </c>
      <c r="U273" t="str">
        <f t="shared" si="44"/>
        <v>Mid</v>
      </c>
    </row>
    <row r="274" spans="1:21">
      <c r="A274" s="1">
        <v>114</v>
      </c>
      <c r="B274" s="2">
        <v>2009</v>
      </c>
      <c r="C274" s="1" t="s">
        <v>30</v>
      </c>
      <c r="D274" s="1" t="s">
        <v>31</v>
      </c>
      <c r="E274" s="1" t="s">
        <v>17</v>
      </c>
      <c r="F274" s="1" t="s">
        <v>32</v>
      </c>
      <c r="G274" s="9">
        <v>134809000</v>
      </c>
      <c r="H274" s="1">
        <v>83</v>
      </c>
      <c r="I274" s="1">
        <v>78</v>
      </c>
      <c r="J274" s="5">
        <v>31.3</v>
      </c>
      <c r="K274" s="1" t="s">
        <v>19</v>
      </c>
      <c r="L274" s="1" t="s">
        <v>19</v>
      </c>
      <c r="M274" s="10">
        <f t="shared" si="36"/>
        <v>4306996.8051118208</v>
      </c>
      <c r="N274" s="10">
        <f t="shared" si="37"/>
        <v>1624204.8192771084</v>
      </c>
      <c r="O274" s="1">
        <f t="shared" si="38"/>
        <v>3</v>
      </c>
      <c r="P274" s="1">
        <f t="shared" si="39"/>
        <v>16</v>
      </c>
      <c r="Q274" s="1">
        <f t="shared" si="40"/>
        <v>-13</v>
      </c>
      <c r="R274" s="6">
        <f t="shared" si="41"/>
        <v>0.51552795031055898</v>
      </c>
      <c r="S274" s="8">
        <f t="shared" si="42"/>
        <v>81.668808054097042</v>
      </c>
      <c r="T274" s="8">
        <f t="shared" si="43"/>
        <v>1.3311919459029582</v>
      </c>
      <c r="U274" t="str">
        <f t="shared" si="44"/>
        <v>Mid</v>
      </c>
    </row>
    <row r="275" spans="1:21">
      <c r="A275" s="1">
        <v>88</v>
      </c>
      <c r="B275" s="2">
        <v>2009</v>
      </c>
      <c r="C275" s="1" t="s">
        <v>28</v>
      </c>
      <c r="D275" s="1" t="s">
        <v>29</v>
      </c>
      <c r="E275" s="1" t="s">
        <v>26</v>
      </c>
      <c r="F275" s="1" t="s">
        <v>27</v>
      </c>
      <c r="G275" s="9">
        <v>121745999</v>
      </c>
      <c r="H275" s="1">
        <v>95</v>
      </c>
      <c r="I275" s="1">
        <v>67</v>
      </c>
      <c r="J275" s="5">
        <v>45.2</v>
      </c>
      <c r="K275" s="1" t="s">
        <v>20</v>
      </c>
      <c r="L275" s="1" t="s">
        <v>19</v>
      </c>
      <c r="M275" s="10">
        <f t="shared" si="36"/>
        <v>2693495.5530973449</v>
      </c>
      <c r="N275" s="10">
        <f t="shared" si="37"/>
        <v>1281536.8315789474</v>
      </c>
      <c r="O275" s="1">
        <f t="shared" si="38"/>
        <v>4</v>
      </c>
      <c r="P275" s="1">
        <f t="shared" si="39"/>
        <v>3</v>
      </c>
      <c r="Q275" s="1">
        <f t="shared" si="40"/>
        <v>1</v>
      </c>
      <c r="R275" s="6">
        <f t="shared" si="41"/>
        <v>0.5864197530864198</v>
      </c>
      <c r="S275" s="8">
        <f t="shared" si="42"/>
        <v>80.528341899611419</v>
      </c>
      <c r="T275" s="8">
        <f t="shared" si="43"/>
        <v>14.471658100388581</v>
      </c>
      <c r="U275" t="str">
        <f t="shared" si="44"/>
        <v>Mid</v>
      </c>
    </row>
    <row r="276" spans="1:21">
      <c r="A276" s="1">
        <v>244</v>
      </c>
      <c r="B276" s="2">
        <v>2009</v>
      </c>
      <c r="C276" s="1" t="s">
        <v>42</v>
      </c>
      <c r="D276" s="1" t="s">
        <v>43</v>
      </c>
      <c r="E276" s="1" t="s">
        <v>26</v>
      </c>
      <c r="F276" s="1" t="s">
        <v>35</v>
      </c>
      <c r="G276" s="9">
        <v>115085145</v>
      </c>
      <c r="H276" s="1">
        <v>86</v>
      </c>
      <c r="I276" s="1">
        <v>77</v>
      </c>
      <c r="J276" s="5">
        <v>34.700000000000003</v>
      </c>
      <c r="K276" s="1" t="s">
        <v>19</v>
      </c>
      <c r="L276" s="1" t="s">
        <v>19</v>
      </c>
      <c r="M276" s="10">
        <f t="shared" si="36"/>
        <v>3316574.7838616711</v>
      </c>
      <c r="N276" s="10">
        <f t="shared" si="37"/>
        <v>1338199.3604651163</v>
      </c>
      <c r="O276" s="1">
        <f t="shared" si="38"/>
        <v>5</v>
      </c>
      <c r="P276" s="1">
        <f t="shared" si="39"/>
        <v>12</v>
      </c>
      <c r="Q276" s="1">
        <f t="shared" si="40"/>
        <v>-7</v>
      </c>
      <c r="R276" s="6">
        <f t="shared" si="41"/>
        <v>0.52760736196319014</v>
      </c>
      <c r="S276" s="8">
        <f t="shared" si="42"/>
        <v>79.946815606612574</v>
      </c>
      <c r="T276" s="8">
        <f t="shared" si="43"/>
        <v>6.0531843933874256</v>
      </c>
      <c r="U276" t="str">
        <f t="shared" si="44"/>
        <v>Mid</v>
      </c>
    </row>
    <row r="277" spans="1:21">
      <c r="A277" s="1">
        <v>322</v>
      </c>
      <c r="B277" s="2">
        <v>2009</v>
      </c>
      <c r="C277" s="1" t="s">
        <v>49</v>
      </c>
      <c r="D277" s="1" t="s">
        <v>50</v>
      </c>
      <c r="E277" s="1" t="s">
        <v>26</v>
      </c>
      <c r="F277" s="1" t="s">
        <v>46</v>
      </c>
      <c r="G277" s="9">
        <v>113709000</v>
      </c>
      <c r="H277" s="1">
        <v>97</v>
      </c>
      <c r="I277" s="1">
        <v>65</v>
      </c>
      <c r="J277" s="5">
        <v>21.5</v>
      </c>
      <c r="K277" s="1" t="s">
        <v>20</v>
      </c>
      <c r="L277" s="1" t="s">
        <v>19</v>
      </c>
      <c r="M277" s="10">
        <f t="shared" si="36"/>
        <v>5288790.6976744188</v>
      </c>
      <c r="N277" s="10">
        <f t="shared" si="37"/>
        <v>1172257.731958763</v>
      </c>
      <c r="O277" s="1">
        <f t="shared" si="38"/>
        <v>6</v>
      </c>
      <c r="P277" s="1">
        <f t="shared" si="39"/>
        <v>2</v>
      </c>
      <c r="Q277" s="1">
        <f t="shared" si="40"/>
        <v>4</v>
      </c>
      <c r="R277" s="6">
        <f t="shared" si="41"/>
        <v>0.59876543209876543</v>
      </c>
      <c r="S277" s="8">
        <f t="shared" si="42"/>
        <v>79.826671177613093</v>
      </c>
      <c r="T277" s="8">
        <f t="shared" si="43"/>
        <v>17.173328822386907</v>
      </c>
      <c r="U277" t="str">
        <f t="shared" si="44"/>
        <v>Mid</v>
      </c>
    </row>
    <row r="278" spans="1:21">
      <c r="A278" s="1">
        <v>530</v>
      </c>
      <c r="B278" s="2">
        <v>2009</v>
      </c>
      <c r="C278" s="1" t="s">
        <v>65</v>
      </c>
      <c r="D278" s="1" t="s">
        <v>66</v>
      </c>
      <c r="E278" s="1" t="s">
        <v>17</v>
      </c>
      <c r="F278" s="1" t="s">
        <v>23</v>
      </c>
      <c r="G278" s="9">
        <v>113004046</v>
      </c>
      <c r="H278" s="1">
        <v>93</v>
      </c>
      <c r="I278" s="1">
        <v>69</v>
      </c>
      <c r="J278" s="5">
        <v>41.7</v>
      </c>
      <c r="K278" s="1" t="s">
        <v>20</v>
      </c>
      <c r="L278" s="1" t="s">
        <v>19</v>
      </c>
      <c r="M278" s="10">
        <f t="shared" si="36"/>
        <v>2709929.1606714628</v>
      </c>
      <c r="N278" s="10">
        <f t="shared" si="37"/>
        <v>1215097.2688172043</v>
      </c>
      <c r="O278" s="1">
        <f t="shared" si="38"/>
        <v>7</v>
      </c>
      <c r="P278" s="1">
        <f t="shared" si="39"/>
        <v>5</v>
      </c>
      <c r="Q278" s="1">
        <f t="shared" si="40"/>
        <v>2</v>
      </c>
      <c r="R278" s="6">
        <f t="shared" si="41"/>
        <v>0.57407407407407407</v>
      </c>
      <c r="S278" s="8">
        <f t="shared" si="42"/>
        <v>79.765125122654581</v>
      </c>
      <c r="T278" s="8">
        <f t="shared" si="43"/>
        <v>13.234874877345419</v>
      </c>
      <c r="U278" t="str">
        <f t="shared" si="44"/>
        <v>Mid</v>
      </c>
    </row>
    <row r="279" spans="1:21">
      <c r="A279" s="1">
        <v>270</v>
      </c>
      <c r="B279" s="2">
        <v>2009</v>
      </c>
      <c r="C279" s="1" t="s">
        <v>44</v>
      </c>
      <c r="D279" s="1" t="s">
        <v>45</v>
      </c>
      <c r="E279" s="1" t="s">
        <v>26</v>
      </c>
      <c r="F279" s="1" t="s">
        <v>46</v>
      </c>
      <c r="G279" s="9">
        <v>102996414</v>
      </c>
      <c r="H279" s="1">
        <v>74</v>
      </c>
      <c r="I279" s="1">
        <v>88</v>
      </c>
      <c r="J279" s="5">
        <v>37.5</v>
      </c>
      <c r="K279" s="1" t="s">
        <v>19</v>
      </c>
      <c r="L279" s="1" t="s">
        <v>19</v>
      </c>
      <c r="M279" s="10">
        <f t="shared" si="36"/>
        <v>2746571.04</v>
      </c>
      <c r="N279" s="10">
        <f t="shared" si="37"/>
        <v>1391843.4324324324</v>
      </c>
      <c r="O279" s="1">
        <f t="shared" si="38"/>
        <v>8</v>
      </c>
      <c r="P279" s="1">
        <f t="shared" si="39"/>
        <v>23</v>
      </c>
      <c r="Q279" s="1">
        <f t="shared" si="40"/>
        <v>-15</v>
      </c>
      <c r="R279" s="6">
        <f t="shared" si="41"/>
        <v>0.4567901234567901</v>
      </c>
      <c r="S279" s="8">
        <f t="shared" si="42"/>
        <v>78.891408158034636</v>
      </c>
      <c r="T279" s="8">
        <f t="shared" si="43"/>
        <v>-4.8914081580346362</v>
      </c>
      <c r="U279" t="str">
        <f t="shared" si="44"/>
        <v>Mid</v>
      </c>
    </row>
    <row r="280" spans="1:21">
      <c r="A280" s="1">
        <v>348</v>
      </c>
      <c r="B280" s="2">
        <v>2009</v>
      </c>
      <c r="C280" s="1" t="s">
        <v>51</v>
      </c>
      <c r="D280" s="1" t="s">
        <v>52</v>
      </c>
      <c r="E280" s="1" t="s">
        <v>17</v>
      </c>
      <c r="F280" s="1" t="s">
        <v>18</v>
      </c>
      <c r="G280" s="9">
        <v>100414592</v>
      </c>
      <c r="H280" s="1">
        <v>95</v>
      </c>
      <c r="I280" s="1">
        <v>67</v>
      </c>
      <c r="J280" s="5">
        <v>44.9</v>
      </c>
      <c r="K280" s="1" t="s">
        <v>20</v>
      </c>
      <c r="L280" s="1" t="s">
        <v>19</v>
      </c>
      <c r="M280" s="10">
        <f t="shared" si="36"/>
        <v>2236405.1670378619</v>
      </c>
      <c r="N280" s="10">
        <f t="shared" si="37"/>
        <v>1056995.7052631578</v>
      </c>
      <c r="O280" s="1">
        <f t="shared" si="38"/>
        <v>9</v>
      </c>
      <c r="P280" s="1">
        <f t="shared" si="39"/>
        <v>3</v>
      </c>
      <c r="Q280" s="1">
        <f t="shared" si="40"/>
        <v>6</v>
      </c>
      <c r="R280" s="6">
        <f t="shared" si="41"/>
        <v>0.5864197530864198</v>
      </c>
      <c r="S280" s="8">
        <f t="shared" si="42"/>
        <v>78.666002019896368</v>
      </c>
      <c r="T280" s="8">
        <f t="shared" si="43"/>
        <v>16.333997980103632</v>
      </c>
      <c r="U280" t="str">
        <f t="shared" si="44"/>
        <v>Mid</v>
      </c>
    </row>
    <row r="281" spans="1:21">
      <c r="A281" s="1">
        <v>634</v>
      </c>
      <c r="B281" s="2">
        <v>2009</v>
      </c>
      <c r="C281" s="1" t="s">
        <v>73</v>
      </c>
      <c r="D281" s="1" t="s">
        <v>74</v>
      </c>
      <c r="E281" s="1" t="s">
        <v>26</v>
      </c>
      <c r="F281" s="1" t="s">
        <v>46</v>
      </c>
      <c r="G281" s="9">
        <v>98904166</v>
      </c>
      <c r="H281" s="1">
        <v>85</v>
      </c>
      <c r="I281" s="1">
        <v>77</v>
      </c>
      <c r="J281" s="5">
        <v>38.6</v>
      </c>
      <c r="K281" s="1" t="s">
        <v>19</v>
      </c>
      <c r="L281" s="1" t="s">
        <v>19</v>
      </c>
      <c r="M281" s="10">
        <f t="shared" si="36"/>
        <v>2562284.0932642487</v>
      </c>
      <c r="N281" s="10">
        <f t="shared" si="37"/>
        <v>1163578.4235294117</v>
      </c>
      <c r="O281" s="1">
        <f t="shared" si="38"/>
        <v>10</v>
      </c>
      <c r="P281" s="1">
        <f t="shared" si="39"/>
        <v>14</v>
      </c>
      <c r="Q281" s="1">
        <f t="shared" si="40"/>
        <v>-4</v>
      </c>
      <c r="R281" s="6">
        <f t="shared" si="41"/>
        <v>0.52469135802469136</v>
      </c>
      <c r="S281" s="8">
        <f t="shared" si="42"/>
        <v>78.534134179431902</v>
      </c>
      <c r="T281" s="8">
        <f t="shared" si="43"/>
        <v>6.4658658205680979</v>
      </c>
      <c r="U281" t="str">
        <f t="shared" si="44"/>
        <v>Mid</v>
      </c>
    </row>
    <row r="282" spans="1:21">
      <c r="A282" s="1">
        <v>36</v>
      </c>
      <c r="B282" s="2">
        <v>2009</v>
      </c>
      <c r="C282" s="1" t="s">
        <v>21</v>
      </c>
      <c r="D282" s="1" t="s">
        <v>22</v>
      </c>
      <c r="E282" s="1" t="s">
        <v>17</v>
      </c>
      <c r="F282" s="1" t="s">
        <v>23</v>
      </c>
      <c r="G282" s="9">
        <v>96726166</v>
      </c>
      <c r="H282" s="1">
        <v>86</v>
      </c>
      <c r="I282" s="1">
        <v>76</v>
      </c>
      <c r="J282" s="5">
        <v>42.4</v>
      </c>
      <c r="K282" s="1" t="s">
        <v>19</v>
      </c>
      <c r="L282" s="1" t="s">
        <v>19</v>
      </c>
      <c r="M282" s="10">
        <f t="shared" si="36"/>
        <v>2281277.5</v>
      </c>
      <c r="N282" s="10">
        <f t="shared" si="37"/>
        <v>1124722.8604651163</v>
      </c>
      <c r="O282" s="1">
        <f t="shared" si="38"/>
        <v>11</v>
      </c>
      <c r="P282" s="1">
        <f t="shared" si="39"/>
        <v>12</v>
      </c>
      <c r="Q282" s="1">
        <f t="shared" si="40"/>
        <v>-1</v>
      </c>
      <c r="R282" s="6">
        <f t="shared" si="41"/>
        <v>0.53086419753086422</v>
      </c>
      <c r="S282" s="8">
        <f t="shared" si="42"/>
        <v>78.343983747347451</v>
      </c>
      <c r="T282" s="8">
        <f t="shared" si="43"/>
        <v>7.6560162526525488</v>
      </c>
      <c r="U282" t="str">
        <f t="shared" si="44"/>
        <v>Mid</v>
      </c>
    </row>
    <row r="283" spans="1:21">
      <c r="A283" s="1">
        <v>140</v>
      </c>
      <c r="B283" s="2">
        <v>2009</v>
      </c>
      <c r="C283" s="1" t="s">
        <v>33</v>
      </c>
      <c r="D283" s="1" t="s">
        <v>34</v>
      </c>
      <c r="E283" s="1" t="s">
        <v>26</v>
      </c>
      <c r="F283" s="1" t="s">
        <v>35</v>
      </c>
      <c r="G283" s="9">
        <v>96068500</v>
      </c>
      <c r="H283" s="1">
        <v>79</v>
      </c>
      <c r="I283" s="1">
        <v>83</v>
      </c>
      <c r="J283" s="5">
        <v>32.799999999999997</v>
      </c>
      <c r="K283" s="1" t="s">
        <v>19</v>
      </c>
      <c r="L283" s="1" t="s">
        <v>19</v>
      </c>
      <c r="M283" s="10">
        <f t="shared" si="36"/>
        <v>2928917.6829268294</v>
      </c>
      <c r="N283" s="10">
        <f t="shared" si="37"/>
        <v>1216056.9620253164</v>
      </c>
      <c r="O283" s="1">
        <f t="shared" si="38"/>
        <v>12</v>
      </c>
      <c r="P283" s="1">
        <f t="shared" si="39"/>
        <v>18</v>
      </c>
      <c r="Q283" s="1">
        <f t="shared" si="40"/>
        <v>-6</v>
      </c>
      <c r="R283" s="6">
        <f t="shared" si="41"/>
        <v>0.48765432098765432</v>
      </c>
      <c r="S283" s="8">
        <f t="shared" si="42"/>
        <v>78.286566174313805</v>
      </c>
      <c r="T283" s="8">
        <f t="shared" si="43"/>
        <v>0.71343382568619518</v>
      </c>
      <c r="U283" t="str">
        <f t="shared" si="44"/>
        <v>Mid</v>
      </c>
    </row>
    <row r="284" spans="1:21">
      <c r="A284" s="1">
        <v>608</v>
      </c>
      <c r="B284" s="2">
        <v>2009</v>
      </c>
      <c r="C284" s="1" t="s">
        <v>71</v>
      </c>
      <c r="D284" s="1" t="s">
        <v>72</v>
      </c>
      <c r="E284" s="1" t="s">
        <v>17</v>
      </c>
      <c r="F284" s="1" t="s">
        <v>18</v>
      </c>
      <c r="G284" s="9">
        <v>82616450</v>
      </c>
      <c r="H284" s="1">
        <v>88</v>
      </c>
      <c r="I284" s="1">
        <v>74</v>
      </c>
      <c r="J284" s="5">
        <v>43.9</v>
      </c>
      <c r="K284" s="1" t="s">
        <v>19</v>
      </c>
      <c r="L284" s="1" t="s">
        <v>19</v>
      </c>
      <c r="M284" s="10">
        <f t="shared" si="36"/>
        <v>1881923.6902050115</v>
      </c>
      <c r="N284" s="10">
        <f t="shared" si="37"/>
        <v>938823.29545454541</v>
      </c>
      <c r="O284" s="1">
        <f t="shared" si="38"/>
        <v>13</v>
      </c>
      <c r="P284" s="1">
        <f t="shared" si="39"/>
        <v>8</v>
      </c>
      <c r="Q284" s="1">
        <f t="shared" si="40"/>
        <v>5</v>
      </c>
      <c r="R284" s="6">
        <f t="shared" si="41"/>
        <v>0.54320987654320985</v>
      </c>
      <c r="S284" s="8">
        <f t="shared" si="42"/>
        <v>77.112134071503107</v>
      </c>
      <c r="T284" s="8">
        <f t="shared" si="43"/>
        <v>10.887865928496893</v>
      </c>
      <c r="U284" t="str">
        <f t="shared" si="44"/>
        <v>Mid</v>
      </c>
    </row>
    <row r="285" spans="1:21">
      <c r="A285" s="1">
        <v>192</v>
      </c>
      <c r="B285" s="2">
        <v>2009</v>
      </c>
      <c r="C285" s="1" t="s">
        <v>38</v>
      </c>
      <c r="D285" s="1" t="s">
        <v>39</v>
      </c>
      <c r="E285" s="1" t="s">
        <v>26</v>
      </c>
      <c r="F285" s="1" t="s">
        <v>35</v>
      </c>
      <c r="G285" s="9">
        <v>81579166</v>
      </c>
      <c r="H285" s="1">
        <v>65</v>
      </c>
      <c r="I285" s="1">
        <v>97</v>
      </c>
      <c r="J285" s="5">
        <v>26.1</v>
      </c>
      <c r="K285" s="1" t="s">
        <v>19</v>
      </c>
      <c r="L285" s="1" t="s">
        <v>19</v>
      </c>
      <c r="M285" s="10">
        <f t="shared" si="36"/>
        <v>3125638.5440613027</v>
      </c>
      <c r="N285" s="10">
        <f t="shared" si="37"/>
        <v>1255064.0923076924</v>
      </c>
      <c r="O285" s="1">
        <f t="shared" si="38"/>
        <v>14</v>
      </c>
      <c r="P285" s="1">
        <f t="shared" si="39"/>
        <v>26</v>
      </c>
      <c r="Q285" s="1">
        <f t="shared" si="40"/>
        <v>-12</v>
      </c>
      <c r="R285" s="6">
        <f t="shared" si="41"/>
        <v>0.40123456790123457</v>
      </c>
      <c r="S285" s="8">
        <f t="shared" si="42"/>
        <v>77.021573924214636</v>
      </c>
      <c r="T285" s="8">
        <f t="shared" si="43"/>
        <v>-12.021573924214636</v>
      </c>
      <c r="U285" t="str">
        <f t="shared" si="44"/>
        <v>Mid</v>
      </c>
    </row>
    <row r="286" spans="1:21">
      <c r="A286" s="1">
        <v>738</v>
      </c>
      <c r="B286" s="2">
        <v>2009</v>
      </c>
      <c r="C286" s="1" t="s">
        <v>81</v>
      </c>
      <c r="D286" s="1" t="s">
        <v>82</v>
      </c>
      <c r="E286" s="1" t="s">
        <v>26</v>
      </c>
      <c r="F286" s="1" t="s">
        <v>27</v>
      </c>
      <c r="G286" s="9">
        <v>80538300</v>
      </c>
      <c r="H286" s="1">
        <v>75</v>
      </c>
      <c r="I286" s="1">
        <v>87</v>
      </c>
      <c r="J286" s="5">
        <v>34.200000000000003</v>
      </c>
      <c r="K286" s="1" t="s">
        <v>19</v>
      </c>
      <c r="L286" s="1" t="s">
        <v>19</v>
      </c>
      <c r="M286" s="10">
        <f t="shared" si="36"/>
        <v>2354921.0526315789</v>
      </c>
      <c r="N286" s="10">
        <f t="shared" si="37"/>
        <v>1073844</v>
      </c>
      <c r="O286" s="1">
        <f t="shared" si="38"/>
        <v>15</v>
      </c>
      <c r="P286" s="1">
        <f t="shared" si="39"/>
        <v>20</v>
      </c>
      <c r="Q286" s="1">
        <f t="shared" si="40"/>
        <v>-5</v>
      </c>
      <c r="R286" s="6">
        <f t="shared" si="41"/>
        <v>0.46296296296296297</v>
      </c>
      <c r="S286" s="8">
        <f t="shared" si="42"/>
        <v>76.930701050182492</v>
      </c>
      <c r="T286" s="8">
        <f t="shared" si="43"/>
        <v>-1.9307010501824919</v>
      </c>
      <c r="U286" t="str">
        <f t="shared" si="44"/>
        <v>Mid</v>
      </c>
    </row>
    <row r="287" spans="1:21">
      <c r="A287" s="1">
        <v>400</v>
      </c>
      <c r="B287" s="2">
        <v>2009</v>
      </c>
      <c r="C287" s="1" t="s">
        <v>55</v>
      </c>
      <c r="D287" s="1" t="s">
        <v>56</v>
      </c>
      <c r="E287" s="1" t="s">
        <v>17</v>
      </c>
      <c r="F287" s="1" t="s">
        <v>32</v>
      </c>
      <c r="G287" s="9">
        <v>80182502</v>
      </c>
      <c r="H287" s="1">
        <v>80</v>
      </c>
      <c r="I287" s="1">
        <v>82</v>
      </c>
      <c r="J287" s="5">
        <v>28.4</v>
      </c>
      <c r="K287" s="1" t="s">
        <v>19</v>
      </c>
      <c r="L287" s="1" t="s">
        <v>19</v>
      </c>
      <c r="M287" s="10">
        <f t="shared" si="36"/>
        <v>2823327.5352112679</v>
      </c>
      <c r="N287" s="10">
        <f t="shared" si="37"/>
        <v>1002281.275</v>
      </c>
      <c r="O287" s="1">
        <f t="shared" si="38"/>
        <v>16</v>
      </c>
      <c r="P287" s="1">
        <f t="shared" si="39"/>
        <v>17</v>
      </c>
      <c r="Q287" s="1">
        <f t="shared" si="40"/>
        <v>-1</v>
      </c>
      <c r="R287" s="6">
        <f t="shared" si="41"/>
        <v>0.49382716049382713</v>
      </c>
      <c r="S287" s="8">
        <f t="shared" si="42"/>
        <v>76.899638082581575</v>
      </c>
      <c r="T287" s="8">
        <f t="shared" si="43"/>
        <v>3.1003619174184252</v>
      </c>
      <c r="U287" t="str">
        <f t="shared" si="44"/>
        <v>Mid</v>
      </c>
    </row>
    <row r="288" spans="1:21">
      <c r="A288" s="1">
        <v>660</v>
      </c>
      <c r="B288" s="2">
        <v>2009</v>
      </c>
      <c r="C288" s="1" t="s">
        <v>75</v>
      </c>
      <c r="D288" s="1" t="s">
        <v>76</v>
      </c>
      <c r="E288" s="1" t="s">
        <v>17</v>
      </c>
      <c r="F288" s="1" t="s">
        <v>32</v>
      </c>
      <c r="G288" s="9">
        <v>77605109</v>
      </c>
      <c r="H288" s="1">
        <v>91</v>
      </c>
      <c r="I288" s="1">
        <v>71</v>
      </c>
      <c r="J288" s="5">
        <v>44.2</v>
      </c>
      <c r="K288" s="1" t="s">
        <v>20</v>
      </c>
      <c r="L288" s="1" t="s">
        <v>19</v>
      </c>
      <c r="M288" s="10">
        <f t="shared" si="36"/>
        <v>1755771.6968325791</v>
      </c>
      <c r="N288" s="10">
        <f t="shared" si="37"/>
        <v>852803.39560439566</v>
      </c>
      <c r="O288" s="1">
        <f t="shared" si="38"/>
        <v>17</v>
      </c>
      <c r="P288" s="1">
        <f t="shared" si="39"/>
        <v>7</v>
      </c>
      <c r="Q288" s="1">
        <f t="shared" si="40"/>
        <v>10</v>
      </c>
      <c r="R288" s="6">
        <f t="shared" si="41"/>
        <v>0.56172839506172845</v>
      </c>
      <c r="S288" s="8">
        <f t="shared" si="42"/>
        <v>76.674618618577227</v>
      </c>
      <c r="T288" s="8">
        <f t="shared" si="43"/>
        <v>14.325381381422773</v>
      </c>
      <c r="U288" t="str">
        <f t="shared" si="44"/>
        <v>Low</v>
      </c>
    </row>
    <row r="289" spans="1:21">
      <c r="A289" s="1">
        <v>218</v>
      </c>
      <c r="B289" s="2">
        <v>2009</v>
      </c>
      <c r="C289" s="1" t="s">
        <v>40</v>
      </c>
      <c r="D289" s="1" t="s">
        <v>41</v>
      </c>
      <c r="E289" s="1" t="s">
        <v>17</v>
      </c>
      <c r="F289" s="1" t="s">
        <v>18</v>
      </c>
      <c r="G289" s="9">
        <v>75201000</v>
      </c>
      <c r="H289" s="1">
        <v>92</v>
      </c>
      <c r="I289" s="1">
        <v>70</v>
      </c>
      <c r="J289" s="5">
        <v>47.6</v>
      </c>
      <c r="K289" s="1" t="s">
        <v>20</v>
      </c>
      <c r="L289" s="1" t="s">
        <v>19</v>
      </c>
      <c r="M289" s="10">
        <f t="shared" si="36"/>
        <v>1579852.9411764706</v>
      </c>
      <c r="N289" s="10">
        <f t="shared" si="37"/>
        <v>817402.17391304346</v>
      </c>
      <c r="O289" s="1">
        <f t="shared" si="38"/>
        <v>18</v>
      </c>
      <c r="P289" s="1">
        <f t="shared" si="39"/>
        <v>6</v>
      </c>
      <c r="Q289" s="1">
        <f t="shared" si="40"/>
        <v>12</v>
      </c>
      <c r="R289" s="6">
        <f t="shared" si="41"/>
        <v>0.5679012345679012</v>
      </c>
      <c r="S289" s="8">
        <f t="shared" si="42"/>
        <v>76.464727725497283</v>
      </c>
      <c r="T289" s="8">
        <f t="shared" si="43"/>
        <v>15.535272274502717</v>
      </c>
      <c r="U289" t="str">
        <f t="shared" si="44"/>
        <v>Low</v>
      </c>
    </row>
    <row r="290" spans="1:21">
      <c r="A290" s="1">
        <v>166</v>
      </c>
      <c r="B290" s="2">
        <v>2009</v>
      </c>
      <c r="C290" s="1" t="s">
        <v>36</v>
      </c>
      <c r="D290" s="1" t="s">
        <v>37</v>
      </c>
      <c r="E290" s="1" t="s">
        <v>17</v>
      </c>
      <c r="F290" s="1" t="s">
        <v>32</v>
      </c>
      <c r="G290" s="9">
        <v>73558500</v>
      </c>
      <c r="H290" s="1">
        <v>78</v>
      </c>
      <c r="I290" s="1">
        <v>84</v>
      </c>
      <c r="J290" s="5">
        <v>31.7</v>
      </c>
      <c r="K290" s="1" t="s">
        <v>19</v>
      </c>
      <c r="L290" s="1" t="s">
        <v>19</v>
      </c>
      <c r="M290" s="10">
        <f t="shared" si="36"/>
        <v>2320457.4132492114</v>
      </c>
      <c r="N290" s="10">
        <f t="shared" si="37"/>
        <v>943057.69230769225</v>
      </c>
      <c r="O290" s="1">
        <f t="shared" si="38"/>
        <v>19</v>
      </c>
      <c r="P290" s="1">
        <f t="shared" si="39"/>
        <v>19</v>
      </c>
      <c r="Q290" s="1">
        <f t="shared" si="40"/>
        <v>0</v>
      </c>
      <c r="R290" s="6">
        <f t="shared" si="41"/>
        <v>0.48148148148148145</v>
      </c>
      <c r="S290" s="8">
        <f t="shared" si="42"/>
        <v>76.321329155846811</v>
      </c>
      <c r="T290" s="8">
        <f t="shared" si="43"/>
        <v>1.6786708441531886</v>
      </c>
      <c r="U290" t="str">
        <f t="shared" si="44"/>
        <v>Low</v>
      </c>
    </row>
    <row r="291" spans="1:21">
      <c r="A291" s="1">
        <v>10</v>
      </c>
      <c r="B291" s="2">
        <v>2009</v>
      </c>
      <c r="C291" s="1" t="s">
        <v>15</v>
      </c>
      <c r="D291" s="1" t="s">
        <v>16</v>
      </c>
      <c r="E291" s="1" t="s">
        <v>17</v>
      </c>
      <c r="F291" s="1" t="s">
        <v>18</v>
      </c>
      <c r="G291" s="9">
        <v>73516666</v>
      </c>
      <c r="H291" s="1">
        <v>70</v>
      </c>
      <c r="I291" s="1">
        <v>92</v>
      </c>
      <c r="J291" s="5">
        <v>25.6</v>
      </c>
      <c r="K291" s="1" t="s">
        <v>19</v>
      </c>
      <c r="L291" s="1" t="s">
        <v>19</v>
      </c>
      <c r="M291" s="10">
        <f t="shared" si="36"/>
        <v>2871744.765625</v>
      </c>
      <c r="N291" s="10">
        <f t="shared" si="37"/>
        <v>1050238.0857142857</v>
      </c>
      <c r="O291" s="1">
        <f t="shared" si="38"/>
        <v>20</v>
      </c>
      <c r="P291" s="1">
        <f t="shared" si="39"/>
        <v>24</v>
      </c>
      <c r="Q291" s="1">
        <f t="shared" si="40"/>
        <v>-4</v>
      </c>
      <c r="R291" s="6">
        <f t="shared" si="41"/>
        <v>0.43209876543209874</v>
      </c>
      <c r="S291" s="8">
        <f t="shared" si="42"/>
        <v>76.317676835747719</v>
      </c>
      <c r="T291" s="8">
        <f t="shared" si="43"/>
        <v>-6.3176768357477187</v>
      </c>
      <c r="U291" t="str">
        <f t="shared" si="44"/>
        <v>Low</v>
      </c>
    </row>
    <row r="292" spans="1:21">
      <c r="A292" s="1">
        <v>296</v>
      </c>
      <c r="B292" s="2">
        <v>2009</v>
      </c>
      <c r="C292" s="1" t="s">
        <v>47</v>
      </c>
      <c r="D292" s="1" t="s">
        <v>48</v>
      </c>
      <c r="E292" s="1" t="s">
        <v>26</v>
      </c>
      <c r="F292" s="1" t="s">
        <v>35</v>
      </c>
      <c r="G292" s="9">
        <v>70519333</v>
      </c>
      <c r="H292" s="1">
        <v>65</v>
      </c>
      <c r="I292" s="1">
        <v>97</v>
      </c>
      <c r="J292" s="5">
        <v>17.899999999999999</v>
      </c>
      <c r="K292" s="1" t="s">
        <v>19</v>
      </c>
      <c r="L292" s="1" t="s">
        <v>19</v>
      </c>
      <c r="M292" s="10">
        <f t="shared" si="36"/>
        <v>3939627.5418994417</v>
      </c>
      <c r="N292" s="10">
        <f t="shared" si="37"/>
        <v>1084912.8153846154</v>
      </c>
      <c r="O292" s="1">
        <f t="shared" si="38"/>
        <v>21</v>
      </c>
      <c r="P292" s="1">
        <f t="shared" si="39"/>
        <v>26</v>
      </c>
      <c r="Q292" s="1">
        <f t="shared" si="40"/>
        <v>-5</v>
      </c>
      <c r="R292" s="6">
        <f t="shared" si="41"/>
        <v>0.40123456790123457</v>
      </c>
      <c r="S292" s="8">
        <f t="shared" si="42"/>
        <v>76.055994482648089</v>
      </c>
      <c r="T292" s="8">
        <f t="shared" si="43"/>
        <v>-11.055994482648089</v>
      </c>
      <c r="U292" t="str">
        <f t="shared" si="44"/>
        <v>Low</v>
      </c>
    </row>
    <row r="293" spans="1:21">
      <c r="A293" s="1">
        <v>712</v>
      </c>
      <c r="B293" s="2">
        <v>2009</v>
      </c>
      <c r="C293" s="1" t="s">
        <v>79</v>
      </c>
      <c r="D293" s="1" t="s">
        <v>80</v>
      </c>
      <c r="E293" s="1" t="s">
        <v>26</v>
      </c>
      <c r="F293" s="1" t="s">
        <v>46</v>
      </c>
      <c r="G293" s="9">
        <v>68178798</v>
      </c>
      <c r="H293" s="1">
        <v>87</v>
      </c>
      <c r="I293" s="1">
        <v>75</v>
      </c>
      <c r="J293" s="5">
        <v>36.6</v>
      </c>
      <c r="K293" s="1" t="s">
        <v>19</v>
      </c>
      <c r="L293" s="1" t="s">
        <v>19</v>
      </c>
      <c r="M293" s="10">
        <f t="shared" si="36"/>
        <v>1862808.6885245901</v>
      </c>
      <c r="N293" s="10">
        <f t="shared" si="37"/>
        <v>783664.3448275862</v>
      </c>
      <c r="O293" s="1">
        <f t="shared" si="38"/>
        <v>22</v>
      </c>
      <c r="P293" s="1">
        <f t="shared" si="39"/>
        <v>9</v>
      </c>
      <c r="Q293" s="1">
        <f t="shared" si="40"/>
        <v>13</v>
      </c>
      <c r="R293" s="6">
        <f t="shared" si="41"/>
        <v>0.53703703703703709</v>
      </c>
      <c r="S293" s="8">
        <f t="shared" si="42"/>
        <v>75.85165392178547</v>
      </c>
      <c r="T293" s="8">
        <f t="shared" si="43"/>
        <v>11.14834607821453</v>
      </c>
      <c r="U293" t="str">
        <f t="shared" si="44"/>
        <v>Low</v>
      </c>
    </row>
    <row r="294" spans="1:21">
      <c r="A294" s="1">
        <v>62</v>
      </c>
      <c r="B294" s="2">
        <v>2009</v>
      </c>
      <c r="C294" s="1" t="s">
        <v>24</v>
      </c>
      <c r="D294" s="1" t="s">
        <v>25</v>
      </c>
      <c r="E294" s="1" t="s">
        <v>26</v>
      </c>
      <c r="F294" s="1" t="s">
        <v>27</v>
      </c>
      <c r="G294" s="9">
        <v>67101666</v>
      </c>
      <c r="H294" s="1">
        <v>64</v>
      </c>
      <c r="I294" s="1">
        <v>98</v>
      </c>
      <c r="J294" s="5">
        <v>20.8</v>
      </c>
      <c r="K294" s="1" t="s">
        <v>19</v>
      </c>
      <c r="L294" s="1" t="s">
        <v>19</v>
      </c>
      <c r="M294" s="10">
        <f t="shared" si="36"/>
        <v>3226041.6346153845</v>
      </c>
      <c r="N294" s="10">
        <f t="shared" si="37"/>
        <v>1048463.53125</v>
      </c>
      <c r="O294" s="1">
        <f t="shared" si="38"/>
        <v>23</v>
      </c>
      <c r="P294" s="1">
        <f t="shared" si="39"/>
        <v>28</v>
      </c>
      <c r="Q294" s="1">
        <f t="shared" si="40"/>
        <v>-5</v>
      </c>
      <c r="R294" s="6">
        <f t="shared" si="41"/>
        <v>0.39506172839506171</v>
      </c>
      <c r="S294" s="8">
        <f t="shared" si="42"/>
        <v>75.757614842257468</v>
      </c>
      <c r="T294" s="8">
        <f t="shared" si="43"/>
        <v>-11.757614842257468</v>
      </c>
      <c r="U294" t="str">
        <f t="shared" si="44"/>
        <v>Low</v>
      </c>
    </row>
    <row r="295" spans="1:21">
      <c r="A295" s="1">
        <v>426</v>
      </c>
      <c r="B295" s="2">
        <v>2009</v>
      </c>
      <c r="C295" s="1" t="s">
        <v>57</v>
      </c>
      <c r="D295" s="1" t="s">
        <v>58</v>
      </c>
      <c r="E295" s="1" t="s">
        <v>26</v>
      </c>
      <c r="F295" s="1" t="s">
        <v>35</v>
      </c>
      <c r="G295" s="9">
        <v>65299266</v>
      </c>
      <c r="H295" s="1">
        <v>87</v>
      </c>
      <c r="I295" s="1">
        <v>76</v>
      </c>
      <c r="J295" s="5">
        <v>42.2</v>
      </c>
      <c r="K295" s="1" t="s">
        <v>20</v>
      </c>
      <c r="L295" s="1" t="s">
        <v>19</v>
      </c>
      <c r="M295" s="10">
        <f t="shared" si="36"/>
        <v>1547375.9715639809</v>
      </c>
      <c r="N295" s="10">
        <f t="shared" si="37"/>
        <v>750566.27586206899</v>
      </c>
      <c r="O295" s="1">
        <f t="shared" si="38"/>
        <v>24</v>
      </c>
      <c r="P295" s="1">
        <f t="shared" si="39"/>
        <v>9</v>
      </c>
      <c r="Q295" s="1">
        <f t="shared" si="40"/>
        <v>15</v>
      </c>
      <c r="R295" s="6">
        <f t="shared" si="41"/>
        <v>0.53374233128834359</v>
      </c>
      <c r="S295" s="8">
        <f t="shared" si="42"/>
        <v>75.600256192675729</v>
      </c>
      <c r="T295" s="8">
        <f t="shared" si="43"/>
        <v>11.399743807324271</v>
      </c>
      <c r="U295" t="str">
        <f t="shared" si="44"/>
        <v>Low</v>
      </c>
    </row>
    <row r="296" spans="1:21">
      <c r="A296" s="1">
        <v>686</v>
      </c>
      <c r="B296" s="2">
        <v>2009</v>
      </c>
      <c r="C296" s="1" t="s">
        <v>77</v>
      </c>
      <c r="D296" s="1" t="s">
        <v>78</v>
      </c>
      <c r="E296" s="1" t="s">
        <v>26</v>
      </c>
      <c r="F296" s="1" t="s">
        <v>27</v>
      </c>
      <c r="G296" s="9">
        <v>63313034</v>
      </c>
      <c r="H296" s="1">
        <v>84</v>
      </c>
      <c r="I296" s="1">
        <v>78</v>
      </c>
      <c r="J296" s="5">
        <v>48.2</v>
      </c>
      <c r="K296" s="1" t="s">
        <v>19</v>
      </c>
      <c r="L296" s="1" t="s">
        <v>19</v>
      </c>
      <c r="M296" s="10">
        <f t="shared" si="36"/>
        <v>1313548.4232365144</v>
      </c>
      <c r="N296" s="10">
        <f t="shared" si="37"/>
        <v>753726.59523809527</v>
      </c>
      <c r="O296" s="1">
        <f t="shared" si="38"/>
        <v>25</v>
      </c>
      <c r="P296" s="1">
        <f t="shared" si="39"/>
        <v>15</v>
      </c>
      <c r="Q296" s="1">
        <f t="shared" si="40"/>
        <v>10</v>
      </c>
      <c r="R296" s="6">
        <f t="shared" si="41"/>
        <v>0.51851851851851849</v>
      </c>
      <c r="S296" s="8">
        <f t="shared" si="42"/>
        <v>75.426848078341493</v>
      </c>
      <c r="T296" s="8">
        <f t="shared" si="43"/>
        <v>8.573151921658507</v>
      </c>
      <c r="U296" t="str">
        <f t="shared" si="44"/>
        <v>Low</v>
      </c>
    </row>
    <row r="297" spans="1:21">
      <c r="A297" s="1">
        <v>504</v>
      </c>
      <c r="B297" s="2">
        <v>2009</v>
      </c>
      <c r="C297" s="1" t="s">
        <v>63</v>
      </c>
      <c r="D297" s="1" t="s">
        <v>64</v>
      </c>
      <c r="E297" s="1" t="s">
        <v>26</v>
      </c>
      <c r="F297" s="1" t="s">
        <v>46</v>
      </c>
      <c r="G297" s="9">
        <v>62310000</v>
      </c>
      <c r="H297" s="1">
        <v>75</v>
      </c>
      <c r="I297" s="1">
        <v>87</v>
      </c>
      <c r="J297" s="5">
        <v>29.7</v>
      </c>
      <c r="K297" s="1" t="s">
        <v>19</v>
      </c>
      <c r="L297" s="1" t="s">
        <v>19</v>
      </c>
      <c r="M297" s="10">
        <f t="shared" si="36"/>
        <v>2097979.7979797982</v>
      </c>
      <c r="N297" s="10">
        <f t="shared" si="37"/>
        <v>830800</v>
      </c>
      <c r="O297" s="1">
        <f t="shared" si="38"/>
        <v>26</v>
      </c>
      <c r="P297" s="1">
        <f t="shared" si="39"/>
        <v>20</v>
      </c>
      <c r="Q297" s="1">
        <f t="shared" si="40"/>
        <v>6</v>
      </c>
      <c r="R297" s="6">
        <f t="shared" si="41"/>
        <v>0.46296296296296297</v>
      </c>
      <c r="S297" s="8">
        <f t="shared" si="42"/>
        <v>75.339278129537348</v>
      </c>
      <c r="T297" s="8">
        <f t="shared" si="43"/>
        <v>-0.33927812953734815</v>
      </c>
      <c r="U297" t="str">
        <f t="shared" si="44"/>
        <v>Low</v>
      </c>
    </row>
    <row r="298" spans="1:21">
      <c r="A298" s="1">
        <v>764</v>
      </c>
      <c r="B298" s="2">
        <v>2009</v>
      </c>
      <c r="C298" s="1" t="s">
        <v>83</v>
      </c>
      <c r="D298" s="1" t="s">
        <v>84</v>
      </c>
      <c r="E298" s="1" t="s">
        <v>17</v>
      </c>
      <c r="F298" s="1" t="s">
        <v>23</v>
      </c>
      <c r="G298" s="9">
        <v>60328000</v>
      </c>
      <c r="H298" s="1">
        <v>59</v>
      </c>
      <c r="I298" s="1">
        <v>103</v>
      </c>
      <c r="J298" s="5">
        <v>14.2</v>
      </c>
      <c r="K298" s="1" t="s">
        <v>19</v>
      </c>
      <c r="L298" s="1" t="s">
        <v>19</v>
      </c>
      <c r="M298" s="10">
        <f t="shared" si="36"/>
        <v>4248450.704225352</v>
      </c>
      <c r="N298" s="10">
        <f t="shared" si="37"/>
        <v>1022508.4745762711</v>
      </c>
      <c r="O298" s="1">
        <f t="shared" si="38"/>
        <v>27</v>
      </c>
      <c r="P298" s="1">
        <f t="shared" si="39"/>
        <v>30</v>
      </c>
      <c r="Q298" s="1">
        <f t="shared" si="40"/>
        <v>-3</v>
      </c>
      <c r="R298" s="6">
        <f t="shared" si="41"/>
        <v>0.36419753086419754</v>
      </c>
      <c r="S298" s="8">
        <f t="shared" si="42"/>
        <v>75.166239490239192</v>
      </c>
      <c r="T298" s="8">
        <f t="shared" si="43"/>
        <v>-16.166239490239192</v>
      </c>
      <c r="U298" t="str">
        <f t="shared" si="44"/>
        <v>Low</v>
      </c>
    </row>
    <row r="299" spans="1:21">
      <c r="A299" s="1">
        <v>556</v>
      </c>
      <c r="B299" s="2">
        <v>2009</v>
      </c>
      <c r="C299" s="1" t="s">
        <v>67</v>
      </c>
      <c r="D299" s="1" t="s">
        <v>68</v>
      </c>
      <c r="E299" s="1" t="s">
        <v>17</v>
      </c>
      <c r="F299" s="1" t="s">
        <v>32</v>
      </c>
      <c r="G299" s="9">
        <v>48693000</v>
      </c>
      <c r="H299" s="1">
        <v>62</v>
      </c>
      <c r="I299" s="1">
        <v>99</v>
      </c>
      <c r="J299" s="5">
        <v>15.1</v>
      </c>
      <c r="K299" s="1" t="s">
        <v>19</v>
      </c>
      <c r="L299" s="1" t="s">
        <v>19</v>
      </c>
      <c r="M299" s="10">
        <f t="shared" si="36"/>
        <v>3224701.9867549669</v>
      </c>
      <c r="N299" s="10">
        <f t="shared" si="37"/>
        <v>785370.96774193551</v>
      </c>
      <c r="O299" s="1">
        <f t="shared" si="38"/>
        <v>28</v>
      </c>
      <c r="P299" s="1">
        <f t="shared" si="39"/>
        <v>29</v>
      </c>
      <c r="Q299" s="1">
        <f t="shared" si="40"/>
        <v>-1</v>
      </c>
      <c r="R299" s="6">
        <f t="shared" si="41"/>
        <v>0.38509316770186336</v>
      </c>
      <c r="S299" s="8">
        <f t="shared" si="42"/>
        <v>74.150445056215943</v>
      </c>
      <c r="T299" s="8">
        <f t="shared" si="43"/>
        <v>-12.150445056215943</v>
      </c>
      <c r="U299" t="str">
        <f t="shared" si="44"/>
        <v>Low</v>
      </c>
    </row>
    <row r="300" spans="1:21">
      <c r="A300" s="1">
        <v>582</v>
      </c>
      <c r="B300" s="2">
        <v>2009</v>
      </c>
      <c r="C300" s="1" t="s">
        <v>69</v>
      </c>
      <c r="D300" s="1" t="s">
        <v>70</v>
      </c>
      <c r="E300" s="1" t="s">
        <v>17</v>
      </c>
      <c r="F300" s="1" t="s">
        <v>18</v>
      </c>
      <c r="G300" s="9">
        <v>43734200</v>
      </c>
      <c r="H300" s="1">
        <v>75</v>
      </c>
      <c r="I300" s="1">
        <v>87</v>
      </c>
      <c r="J300" s="5">
        <v>25.2</v>
      </c>
      <c r="K300" s="1" t="s">
        <v>19</v>
      </c>
      <c r="L300" s="1" t="s">
        <v>19</v>
      </c>
      <c r="M300" s="10">
        <f t="shared" si="36"/>
        <v>1735484.1269841271</v>
      </c>
      <c r="N300" s="10">
        <f t="shared" si="37"/>
        <v>583122.66666666663</v>
      </c>
      <c r="O300" s="1">
        <f t="shared" si="38"/>
        <v>29</v>
      </c>
      <c r="P300" s="1">
        <f t="shared" si="39"/>
        <v>20</v>
      </c>
      <c r="Q300" s="1">
        <f t="shared" si="40"/>
        <v>9</v>
      </c>
      <c r="R300" s="6">
        <f t="shared" si="41"/>
        <v>0.46296296296296297</v>
      </c>
      <c r="S300" s="8">
        <f t="shared" si="42"/>
        <v>73.717516698722648</v>
      </c>
      <c r="T300" s="8">
        <f t="shared" si="43"/>
        <v>1.2824833012773524</v>
      </c>
      <c r="U300" t="str">
        <f t="shared" si="44"/>
        <v>Low</v>
      </c>
    </row>
    <row r="301" spans="1:21">
      <c r="A301" s="1">
        <v>374</v>
      </c>
      <c r="B301" s="2">
        <v>2009</v>
      </c>
      <c r="C301" s="1" t="s">
        <v>53</v>
      </c>
      <c r="D301" s="1" t="s">
        <v>54</v>
      </c>
      <c r="E301" s="1" t="s">
        <v>17</v>
      </c>
      <c r="F301" s="1" t="s">
        <v>23</v>
      </c>
      <c r="G301" s="9">
        <v>36834000</v>
      </c>
      <c r="H301" s="1">
        <v>87</v>
      </c>
      <c r="I301" s="1">
        <v>75</v>
      </c>
      <c r="J301" s="5">
        <v>48.7</v>
      </c>
      <c r="K301" s="1" t="s">
        <v>19</v>
      </c>
      <c r="L301" s="1" t="s">
        <v>19</v>
      </c>
      <c r="M301" s="10">
        <f t="shared" si="36"/>
        <v>756344.96919917862</v>
      </c>
      <c r="N301" s="10">
        <f t="shared" si="37"/>
        <v>423379.31034482759</v>
      </c>
      <c r="O301" s="1">
        <f t="shared" si="38"/>
        <v>30</v>
      </c>
      <c r="P301" s="1">
        <f t="shared" si="39"/>
        <v>9</v>
      </c>
      <c r="Q301" s="1">
        <f t="shared" si="40"/>
        <v>21</v>
      </c>
      <c r="R301" s="6">
        <f t="shared" si="41"/>
        <v>0.53703703703703709</v>
      </c>
      <c r="S301" s="8">
        <f t="shared" si="42"/>
        <v>73.11509428757978</v>
      </c>
      <c r="T301" s="8">
        <f t="shared" si="43"/>
        <v>13.88490571242022</v>
      </c>
      <c r="U301" t="str">
        <f t="shared" si="44"/>
        <v>Low</v>
      </c>
    </row>
    <row r="302" spans="1:21">
      <c r="A302" s="1">
        <v>479</v>
      </c>
      <c r="B302" s="2">
        <v>2010</v>
      </c>
      <c r="C302" s="1" t="s">
        <v>61</v>
      </c>
      <c r="D302" s="1" t="s">
        <v>62</v>
      </c>
      <c r="E302" s="1" t="s">
        <v>26</v>
      </c>
      <c r="F302" s="1" t="s">
        <v>27</v>
      </c>
      <c r="G302" s="9">
        <v>206333389</v>
      </c>
      <c r="H302" s="1">
        <v>95</v>
      </c>
      <c r="I302" s="1">
        <v>67</v>
      </c>
      <c r="J302" s="5">
        <v>51.8</v>
      </c>
      <c r="K302" s="1" t="s">
        <v>20</v>
      </c>
      <c r="L302" s="1" t="s">
        <v>19</v>
      </c>
      <c r="M302" s="10">
        <f t="shared" si="36"/>
        <v>3983270.057915058</v>
      </c>
      <c r="N302" s="10">
        <f t="shared" si="37"/>
        <v>2171930.4105263157</v>
      </c>
      <c r="O302" s="1">
        <f t="shared" si="38"/>
        <v>1</v>
      </c>
      <c r="P302" s="1">
        <f t="shared" si="39"/>
        <v>3</v>
      </c>
      <c r="Q302" s="1">
        <f t="shared" si="40"/>
        <v>-2</v>
      </c>
      <c r="R302" s="6">
        <f t="shared" si="41"/>
        <v>0.5864197530864198</v>
      </c>
      <c r="S302" s="8">
        <f t="shared" si="42"/>
        <v>87.913249501721808</v>
      </c>
      <c r="T302" s="8">
        <f t="shared" si="43"/>
        <v>7.0867504982781924</v>
      </c>
      <c r="U302" t="str">
        <f t="shared" si="44"/>
        <v>High</v>
      </c>
    </row>
    <row r="303" spans="1:21">
      <c r="A303" s="1">
        <v>89</v>
      </c>
      <c r="B303" s="2">
        <v>2010</v>
      </c>
      <c r="C303" s="1" t="s">
        <v>28</v>
      </c>
      <c r="D303" s="1" t="s">
        <v>29</v>
      </c>
      <c r="E303" s="1" t="s">
        <v>26</v>
      </c>
      <c r="F303" s="1" t="s">
        <v>27</v>
      </c>
      <c r="G303" s="9">
        <v>162747333</v>
      </c>
      <c r="H303" s="1">
        <v>89</v>
      </c>
      <c r="I303" s="1">
        <v>73</v>
      </c>
      <c r="J303" s="5">
        <v>45.6</v>
      </c>
      <c r="K303" s="1" t="s">
        <v>19</v>
      </c>
      <c r="L303" s="1" t="s">
        <v>19</v>
      </c>
      <c r="M303" s="10">
        <f t="shared" si="36"/>
        <v>3569020.4605263155</v>
      </c>
      <c r="N303" s="10">
        <f t="shared" si="37"/>
        <v>1828621.7191011235</v>
      </c>
      <c r="O303" s="1">
        <f t="shared" si="38"/>
        <v>2</v>
      </c>
      <c r="P303" s="1">
        <f t="shared" si="39"/>
        <v>10</v>
      </c>
      <c r="Q303" s="1">
        <f t="shared" si="40"/>
        <v>-8</v>
      </c>
      <c r="R303" s="6">
        <f t="shared" si="41"/>
        <v>0.54938271604938271</v>
      </c>
      <c r="S303" s="8">
        <f t="shared" si="42"/>
        <v>84.107966039252887</v>
      </c>
      <c r="T303" s="8">
        <f t="shared" si="43"/>
        <v>4.8920339607471135</v>
      </c>
      <c r="U303" t="str">
        <f t="shared" si="44"/>
        <v>High</v>
      </c>
    </row>
    <row r="304" spans="1:21">
      <c r="A304" s="1">
        <v>115</v>
      </c>
      <c r="B304" s="2">
        <v>2010</v>
      </c>
      <c r="C304" s="1" t="s">
        <v>30</v>
      </c>
      <c r="D304" s="1" t="s">
        <v>31</v>
      </c>
      <c r="E304" s="1" t="s">
        <v>17</v>
      </c>
      <c r="F304" s="1" t="s">
        <v>32</v>
      </c>
      <c r="G304" s="9">
        <v>146859000</v>
      </c>
      <c r="H304" s="1">
        <v>75</v>
      </c>
      <c r="I304" s="1">
        <v>87</v>
      </c>
      <c r="J304" s="5">
        <v>23.1</v>
      </c>
      <c r="K304" s="1" t="s">
        <v>19</v>
      </c>
      <c r="L304" s="1" t="s">
        <v>19</v>
      </c>
      <c r="M304" s="10">
        <f t="shared" si="36"/>
        <v>6357532.4675324671</v>
      </c>
      <c r="N304" s="10">
        <f t="shared" si="37"/>
        <v>1958120</v>
      </c>
      <c r="O304" s="1">
        <f t="shared" si="38"/>
        <v>3</v>
      </c>
      <c r="P304" s="1">
        <f t="shared" si="39"/>
        <v>23</v>
      </c>
      <c r="Q304" s="1">
        <f t="shared" si="40"/>
        <v>-20</v>
      </c>
      <c r="R304" s="6">
        <f t="shared" si="41"/>
        <v>0.46296296296296297</v>
      </c>
      <c r="S304" s="8">
        <f t="shared" si="42"/>
        <v>82.720834090193321</v>
      </c>
      <c r="T304" s="8">
        <f t="shared" si="43"/>
        <v>-7.7208340901933212</v>
      </c>
      <c r="U304" t="str">
        <f t="shared" si="44"/>
        <v>Mid</v>
      </c>
    </row>
    <row r="305" spans="1:21">
      <c r="A305" s="1">
        <v>531</v>
      </c>
      <c r="B305" s="2">
        <v>2010</v>
      </c>
      <c r="C305" s="1" t="s">
        <v>65</v>
      </c>
      <c r="D305" s="1" t="s">
        <v>66</v>
      </c>
      <c r="E305" s="1" t="s">
        <v>17</v>
      </c>
      <c r="F305" s="1" t="s">
        <v>23</v>
      </c>
      <c r="G305" s="9">
        <v>141927381</v>
      </c>
      <c r="H305" s="1">
        <v>97</v>
      </c>
      <c r="I305" s="1">
        <v>65</v>
      </c>
      <c r="J305" s="5">
        <v>48.7</v>
      </c>
      <c r="K305" s="1" t="s">
        <v>20</v>
      </c>
      <c r="L305" s="1" t="s">
        <v>19</v>
      </c>
      <c r="M305" s="10">
        <f t="shared" si="36"/>
        <v>2914319.938398357</v>
      </c>
      <c r="N305" s="10">
        <f t="shared" si="37"/>
        <v>1463168.8762886599</v>
      </c>
      <c r="O305" s="1">
        <f t="shared" si="38"/>
        <v>4</v>
      </c>
      <c r="P305" s="1">
        <f t="shared" si="39"/>
        <v>1</v>
      </c>
      <c r="Q305" s="1">
        <f t="shared" si="40"/>
        <v>3</v>
      </c>
      <c r="R305" s="6">
        <f t="shared" si="41"/>
        <v>0.59876543209876543</v>
      </c>
      <c r="S305" s="8">
        <f t="shared" si="42"/>
        <v>82.290278771678217</v>
      </c>
      <c r="T305" s="8">
        <f t="shared" si="43"/>
        <v>14.709721228321783</v>
      </c>
      <c r="U305" t="str">
        <f t="shared" si="44"/>
        <v>Mid</v>
      </c>
    </row>
    <row r="306" spans="1:21">
      <c r="A306" s="1">
        <v>453</v>
      </c>
      <c r="B306" s="2">
        <v>2010</v>
      </c>
      <c r="C306" s="1" t="s">
        <v>59</v>
      </c>
      <c r="D306" s="1" t="s">
        <v>60</v>
      </c>
      <c r="E306" s="1" t="s">
        <v>17</v>
      </c>
      <c r="F306" s="1" t="s">
        <v>23</v>
      </c>
      <c r="G306" s="9">
        <v>132701445</v>
      </c>
      <c r="H306" s="1">
        <v>79</v>
      </c>
      <c r="I306" s="1">
        <v>83</v>
      </c>
      <c r="J306" s="5">
        <v>34.200000000000003</v>
      </c>
      <c r="K306" s="1" t="s">
        <v>19</v>
      </c>
      <c r="L306" s="1" t="s">
        <v>19</v>
      </c>
      <c r="M306" s="10">
        <f t="shared" si="36"/>
        <v>3880159.2105263155</v>
      </c>
      <c r="N306" s="10">
        <f t="shared" si="37"/>
        <v>1679765.1265822784</v>
      </c>
      <c r="O306" s="1">
        <f t="shared" si="38"/>
        <v>5</v>
      </c>
      <c r="P306" s="1">
        <f t="shared" si="39"/>
        <v>20</v>
      </c>
      <c r="Q306" s="1">
        <f t="shared" si="40"/>
        <v>-15</v>
      </c>
      <c r="R306" s="6">
        <f t="shared" si="41"/>
        <v>0.48765432098765432</v>
      </c>
      <c r="S306" s="8">
        <f t="shared" si="42"/>
        <v>81.484807827333157</v>
      </c>
      <c r="T306" s="8">
        <f t="shared" si="43"/>
        <v>-2.4848078273331566</v>
      </c>
      <c r="U306" t="str">
        <f t="shared" si="44"/>
        <v>Mid</v>
      </c>
    </row>
    <row r="307" spans="1:21">
      <c r="A307" s="1">
        <v>245</v>
      </c>
      <c r="B307" s="2">
        <v>2010</v>
      </c>
      <c r="C307" s="1" t="s">
        <v>42</v>
      </c>
      <c r="D307" s="1" t="s">
        <v>43</v>
      </c>
      <c r="E307" s="1" t="s">
        <v>26</v>
      </c>
      <c r="F307" s="1" t="s">
        <v>35</v>
      </c>
      <c r="G307" s="9">
        <v>122864929</v>
      </c>
      <c r="H307" s="1">
        <v>81</v>
      </c>
      <c r="I307" s="1">
        <v>81</v>
      </c>
      <c r="J307" s="5">
        <v>33.9</v>
      </c>
      <c r="K307" s="1" t="s">
        <v>19</v>
      </c>
      <c r="L307" s="1" t="s">
        <v>19</v>
      </c>
      <c r="M307" s="10">
        <f t="shared" si="36"/>
        <v>3624334.1887905607</v>
      </c>
      <c r="N307" s="10">
        <f t="shared" si="37"/>
        <v>1516850.975308642</v>
      </c>
      <c r="O307" s="1">
        <f t="shared" si="38"/>
        <v>6</v>
      </c>
      <c r="P307" s="1">
        <f t="shared" si="39"/>
        <v>15</v>
      </c>
      <c r="Q307" s="1">
        <f t="shared" si="40"/>
        <v>-9</v>
      </c>
      <c r="R307" s="6">
        <f t="shared" si="41"/>
        <v>0.5</v>
      </c>
      <c r="S307" s="8">
        <f t="shared" si="42"/>
        <v>80.626030156256164</v>
      </c>
      <c r="T307" s="8">
        <f t="shared" si="43"/>
        <v>0.37396984374383635</v>
      </c>
      <c r="U307" t="str">
        <f t="shared" si="44"/>
        <v>Mid</v>
      </c>
    </row>
    <row r="308" spans="1:21">
      <c r="A308" s="1">
        <v>141</v>
      </c>
      <c r="B308" s="2">
        <v>2010</v>
      </c>
      <c r="C308" s="1" t="s">
        <v>33</v>
      </c>
      <c r="D308" s="1" t="s">
        <v>34</v>
      </c>
      <c r="E308" s="1" t="s">
        <v>26</v>
      </c>
      <c r="F308" s="1" t="s">
        <v>35</v>
      </c>
      <c r="G308" s="9">
        <v>108273197</v>
      </c>
      <c r="H308" s="1">
        <v>88</v>
      </c>
      <c r="I308" s="1">
        <v>74</v>
      </c>
      <c r="J308" s="5">
        <v>41.2</v>
      </c>
      <c r="K308" s="1" t="s">
        <v>19</v>
      </c>
      <c r="L308" s="1" t="s">
        <v>19</v>
      </c>
      <c r="M308" s="10">
        <f t="shared" si="36"/>
        <v>2627990.2184466016</v>
      </c>
      <c r="N308" s="10">
        <f t="shared" si="37"/>
        <v>1230377.2386363635</v>
      </c>
      <c r="O308" s="1">
        <f t="shared" si="38"/>
        <v>7</v>
      </c>
      <c r="P308" s="1">
        <f t="shared" si="39"/>
        <v>11</v>
      </c>
      <c r="Q308" s="1">
        <f t="shared" si="40"/>
        <v>-4</v>
      </c>
      <c r="R308" s="6">
        <f t="shared" si="41"/>
        <v>0.54320987654320985</v>
      </c>
      <c r="S308" s="8">
        <f t="shared" si="42"/>
        <v>79.352098042086936</v>
      </c>
      <c r="T308" s="8">
        <f t="shared" si="43"/>
        <v>8.6479019579130636</v>
      </c>
      <c r="U308" t="str">
        <f t="shared" si="44"/>
        <v>Mid</v>
      </c>
    </row>
    <row r="309" spans="1:21">
      <c r="A309" s="1">
        <v>323</v>
      </c>
      <c r="B309" s="2">
        <v>2010</v>
      </c>
      <c r="C309" s="1" t="s">
        <v>49</v>
      </c>
      <c r="D309" s="1" t="s">
        <v>50</v>
      </c>
      <c r="E309" s="1" t="s">
        <v>26</v>
      </c>
      <c r="F309" s="1" t="s">
        <v>46</v>
      </c>
      <c r="G309" s="9">
        <v>105013667</v>
      </c>
      <c r="H309" s="1">
        <v>80</v>
      </c>
      <c r="I309" s="1">
        <v>82</v>
      </c>
      <c r="J309" s="5">
        <v>25.2</v>
      </c>
      <c r="K309" s="1" t="s">
        <v>19</v>
      </c>
      <c r="L309" s="1" t="s">
        <v>19</v>
      </c>
      <c r="M309" s="10">
        <f t="shared" si="36"/>
        <v>4167209.0079365079</v>
      </c>
      <c r="N309" s="10">
        <f t="shared" si="37"/>
        <v>1312670.8374999999</v>
      </c>
      <c r="O309" s="1">
        <f t="shared" si="38"/>
        <v>8</v>
      </c>
      <c r="P309" s="1">
        <f t="shared" si="39"/>
        <v>17</v>
      </c>
      <c r="Q309" s="1">
        <f t="shared" si="40"/>
        <v>-9</v>
      </c>
      <c r="R309" s="6">
        <f t="shared" si="41"/>
        <v>0.49382716049382713</v>
      </c>
      <c r="S309" s="8">
        <f t="shared" si="42"/>
        <v>79.067524562797573</v>
      </c>
      <c r="T309" s="8">
        <f t="shared" si="43"/>
        <v>0.93247543720242732</v>
      </c>
      <c r="U309" t="str">
        <f t="shared" si="44"/>
        <v>Mid</v>
      </c>
    </row>
    <row r="310" spans="1:21">
      <c r="A310" s="1">
        <v>635</v>
      </c>
      <c r="B310" s="2">
        <v>2010</v>
      </c>
      <c r="C310" s="1" t="s">
        <v>73</v>
      </c>
      <c r="D310" s="1" t="s">
        <v>74</v>
      </c>
      <c r="E310" s="1" t="s">
        <v>26</v>
      </c>
      <c r="F310" s="1" t="s">
        <v>46</v>
      </c>
      <c r="G310" s="9">
        <v>98376667</v>
      </c>
      <c r="H310" s="1">
        <v>61</v>
      </c>
      <c r="I310" s="1">
        <v>101</v>
      </c>
      <c r="J310" s="5">
        <v>20.8</v>
      </c>
      <c r="K310" s="1" t="s">
        <v>19</v>
      </c>
      <c r="L310" s="1" t="s">
        <v>19</v>
      </c>
      <c r="M310" s="10">
        <f t="shared" si="36"/>
        <v>4729647.451923077</v>
      </c>
      <c r="N310" s="10">
        <f t="shared" si="37"/>
        <v>1612732.2459016393</v>
      </c>
      <c r="O310" s="1">
        <f t="shared" si="38"/>
        <v>9</v>
      </c>
      <c r="P310" s="1">
        <f t="shared" si="39"/>
        <v>29</v>
      </c>
      <c r="Q310" s="1">
        <f t="shared" si="40"/>
        <v>-20</v>
      </c>
      <c r="R310" s="6">
        <f t="shared" si="41"/>
        <v>0.37654320987654322</v>
      </c>
      <c r="S310" s="8">
        <f t="shared" si="42"/>
        <v>78.488080844824864</v>
      </c>
      <c r="T310" s="8">
        <f t="shared" si="43"/>
        <v>-17.488080844824864</v>
      </c>
      <c r="U310" t="str">
        <f t="shared" si="44"/>
        <v>Mid</v>
      </c>
    </row>
    <row r="311" spans="1:21">
      <c r="A311" s="1">
        <v>609</v>
      </c>
      <c r="B311" s="2">
        <v>2010</v>
      </c>
      <c r="C311" s="1" t="s">
        <v>71</v>
      </c>
      <c r="D311" s="1" t="s">
        <v>72</v>
      </c>
      <c r="E311" s="1" t="s">
        <v>17</v>
      </c>
      <c r="F311" s="1" t="s">
        <v>18</v>
      </c>
      <c r="G311" s="9">
        <v>97828833</v>
      </c>
      <c r="H311" s="1">
        <v>92</v>
      </c>
      <c r="I311" s="1">
        <v>70</v>
      </c>
      <c r="J311" s="5">
        <v>52.2</v>
      </c>
      <c r="K311" s="1" t="s">
        <v>20</v>
      </c>
      <c r="L311" s="1" t="s">
        <v>20</v>
      </c>
      <c r="M311" s="10">
        <f t="shared" si="36"/>
        <v>1874115.5747126436</v>
      </c>
      <c r="N311" s="10">
        <f t="shared" si="37"/>
        <v>1063356.8804347827</v>
      </c>
      <c r="O311" s="1">
        <f t="shared" si="38"/>
        <v>10</v>
      </c>
      <c r="P311" s="1">
        <f t="shared" si="39"/>
        <v>5</v>
      </c>
      <c r="Q311" s="1">
        <f t="shared" si="40"/>
        <v>5</v>
      </c>
      <c r="R311" s="6">
        <f t="shared" si="41"/>
        <v>0.5679012345679012</v>
      </c>
      <c r="S311" s="8">
        <f t="shared" si="42"/>
        <v>78.440252161716259</v>
      </c>
      <c r="T311" s="8">
        <f t="shared" si="43"/>
        <v>13.559747838283741</v>
      </c>
      <c r="U311" t="str">
        <f t="shared" si="44"/>
        <v>Mid</v>
      </c>
    </row>
    <row r="312" spans="1:21">
      <c r="A312" s="1">
        <v>427</v>
      </c>
      <c r="B312" s="2">
        <v>2010</v>
      </c>
      <c r="C312" s="1" t="s">
        <v>57</v>
      </c>
      <c r="D312" s="1" t="s">
        <v>58</v>
      </c>
      <c r="E312" s="1" t="s">
        <v>26</v>
      </c>
      <c r="F312" s="1" t="s">
        <v>35</v>
      </c>
      <c r="G312" s="9">
        <v>97559167</v>
      </c>
      <c r="H312" s="1">
        <v>94</v>
      </c>
      <c r="I312" s="1">
        <v>68</v>
      </c>
      <c r="J312" s="5">
        <v>48.2</v>
      </c>
      <c r="K312" s="1" t="s">
        <v>20</v>
      </c>
      <c r="L312" s="1" t="s">
        <v>19</v>
      </c>
      <c r="M312" s="10">
        <f t="shared" si="36"/>
        <v>2024049.1078838173</v>
      </c>
      <c r="N312" s="10">
        <f t="shared" si="37"/>
        <v>1037863.4787234042</v>
      </c>
      <c r="O312" s="1">
        <f t="shared" si="38"/>
        <v>11</v>
      </c>
      <c r="P312" s="1">
        <f t="shared" si="39"/>
        <v>4</v>
      </c>
      <c r="Q312" s="1">
        <f t="shared" si="40"/>
        <v>7</v>
      </c>
      <c r="R312" s="6">
        <f t="shared" si="41"/>
        <v>0.58024691358024694</v>
      </c>
      <c r="S312" s="8">
        <f t="shared" si="42"/>
        <v>78.416708953994274</v>
      </c>
      <c r="T312" s="8">
        <f t="shared" si="43"/>
        <v>15.583291046005726</v>
      </c>
      <c r="U312" t="str">
        <f t="shared" si="44"/>
        <v>Mid</v>
      </c>
    </row>
    <row r="313" spans="1:21">
      <c r="A313" s="1">
        <v>349</v>
      </c>
      <c r="B313" s="2">
        <v>2010</v>
      </c>
      <c r="C313" s="1" t="s">
        <v>51</v>
      </c>
      <c r="D313" s="1" t="s">
        <v>52</v>
      </c>
      <c r="E313" s="1" t="s">
        <v>17</v>
      </c>
      <c r="F313" s="1" t="s">
        <v>18</v>
      </c>
      <c r="G313" s="9">
        <v>94945517</v>
      </c>
      <c r="H313" s="1">
        <v>80</v>
      </c>
      <c r="I313" s="1">
        <v>82</v>
      </c>
      <c r="J313" s="5">
        <v>31.4</v>
      </c>
      <c r="K313" s="1" t="s">
        <v>19</v>
      </c>
      <c r="L313" s="1" t="s">
        <v>19</v>
      </c>
      <c r="M313" s="10">
        <f t="shared" si="36"/>
        <v>3023742.5796178346</v>
      </c>
      <c r="N313" s="10">
        <f t="shared" si="37"/>
        <v>1186818.9624999999</v>
      </c>
      <c r="O313" s="1">
        <f t="shared" si="38"/>
        <v>12</v>
      </c>
      <c r="P313" s="1">
        <f t="shared" si="39"/>
        <v>17</v>
      </c>
      <c r="Q313" s="1">
        <f t="shared" si="40"/>
        <v>-5</v>
      </c>
      <c r="R313" s="6">
        <f t="shared" si="41"/>
        <v>0.49382716049382713</v>
      </c>
      <c r="S313" s="8">
        <f t="shared" si="42"/>
        <v>78.188524070239666</v>
      </c>
      <c r="T313" s="8">
        <f t="shared" si="43"/>
        <v>1.8114759297603342</v>
      </c>
      <c r="U313" t="str">
        <f t="shared" si="44"/>
        <v>Mid</v>
      </c>
    </row>
    <row r="314" spans="1:21">
      <c r="A314" s="1">
        <v>661</v>
      </c>
      <c r="B314" s="2">
        <v>2010</v>
      </c>
      <c r="C314" s="1" t="s">
        <v>75</v>
      </c>
      <c r="D314" s="1" t="s">
        <v>76</v>
      </c>
      <c r="E314" s="1" t="s">
        <v>17</v>
      </c>
      <c r="F314" s="1" t="s">
        <v>32</v>
      </c>
      <c r="G314" s="9">
        <v>93540753</v>
      </c>
      <c r="H314" s="1">
        <v>86</v>
      </c>
      <c r="I314" s="1">
        <v>76</v>
      </c>
      <c r="J314" s="5">
        <v>47.6</v>
      </c>
      <c r="K314" s="1" t="s">
        <v>19</v>
      </c>
      <c r="L314" s="1" t="s">
        <v>19</v>
      </c>
      <c r="M314" s="10">
        <f t="shared" si="36"/>
        <v>1965141.869747899</v>
      </c>
      <c r="N314" s="10">
        <f t="shared" si="37"/>
        <v>1087683.1744186047</v>
      </c>
      <c r="O314" s="1">
        <f t="shared" si="38"/>
        <v>13</v>
      </c>
      <c r="P314" s="1">
        <f t="shared" si="39"/>
        <v>12</v>
      </c>
      <c r="Q314" s="1">
        <f t="shared" si="40"/>
        <v>1</v>
      </c>
      <c r="R314" s="6">
        <f t="shared" si="41"/>
        <v>0.53086419753086422</v>
      </c>
      <c r="S314" s="8">
        <f t="shared" si="42"/>
        <v>78.065881057578181</v>
      </c>
      <c r="T314" s="8">
        <f t="shared" si="43"/>
        <v>7.9341189424218186</v>
      </c>
      <c r="U314" t="str">
        <f t="shared" si="44"/>
        <v>Mid</v>
      </c>
    </row>
    <row r="315" spans="1:21">
      <c r="A315" s="1">
        <v>271</v>
      </c>
      <c r="B315" s="2">
        <v>2010</v>
      </c>
      <c r="C315" s="1" t="s">
        <v>44</v>
      </c>
      <c r="D315" s="1" t="s">
        <v>45</v>
      </c>
      <c r="E315" s="1" t="s">
        <v>26</v>
      </c>
      <c r="F315" s="1" t="s">
        <v>46</v>
      </c>
      <c r="G315" s="9">
        <v>92355500</v>
      </c>
      <c r="H315" s="1">
        <v>76</v>
      </c>
      <c r="I315" s="1">
        <v>86</v>
      </c>
      <c r="J315" s="5">
        <v>31.7</v>
      </c>
      <c r="K315" s="1" t="s">
        <v>19</v>
      </c>
      <c r="L315" s="1" t="s">
        <v>19</v>
      </c>
      <c r="M315" s="10">
        <f t="shared" si="36"/>
        <v>2913422.7129337541</v>
      </c>
      <c r="N315" s="10">
        <f t="shared" si="37"/>
        <v>1215203.9473684211</v>
      </c>
      <c r="O315" s="1">
        <f t="shared" si="38"/>
        <v>14</v>
      </c>
      <c r="P315" s="1">
        <f t="shared" si="39"/>
        <v>22</v>
      </c>
      <c r="Q315" s="1">
        <f t="shared" si="40"/>
        <v>-8</v>
      </c>
      <c r="R315" s="6">
        <f t="shared" si="41"/>
        <v>0.46913580246913578</v>
      </c>
      <c r="S315" s="8">
        <f t="shared" si="42"/>
        <v>77.962402467091778</v>
      </c>
      <c r="T315" s="8">
        <f t="shared" si="43"/>
        <v>-1.9624024670917777</v>
      </c>
      <c r="U315" t="str">
        <f t="shared" si="44"/>
        <v>Mid</v>
      </c>
    </row>
    <row r="316" spans="1:21">
      <c r="A316" s="1">
        <v>37</v>
      </c>
      <c r="B316" s="2">
        <v>2010</v>
      </c>
      <c r="C316" s="1" t="s">
        <v>21</v>
      </c>
      <c r="D316" s="1" t="s">
        <v>22</v>
      </c>
      <c r="E316" s="1" t="s">
        <v>17</v>
      </c>
      <c r="F316" s="1" t="s">
        <v>23</v>
      </c>
      <c r="G316" s="9">
        <v>84423667</v>
      </c>
      <c r="H316" s="1">
        <v>91</v>
      </c>
      <c r="I316" s="1">
        <v>71</v>
      </c>
      <c r="J316" s="5">
        <v>43.7</v>
      </c>
      <c r="K316" s="1" t="s">
        <v>20</v>
      </c>
      <c r="L316" s="1" t="s">
        <v>19</v>
      </c>
      <c r="M316" s="10">
        <f t="shared" si="36"/>
        <v>1931891.6933638442</v>
      </c>
      <c r="N316" s="10">
        <f t="shared" si="37"/>
        <v>927732.60439560434</v>
      </c>
      <c r="O316" s="1">
        <f t="shared" si="38"/>
        <v>15</v>
      </c>
      <c r="P316" s="1">
        <f t="shared" si="39"/>
        <v>6</v>
      </c>
      <c r="Q316" s="1">
        <f t="shared" si="40"/>
        <v>9</v>
      </c>
      <c r="R316" s="6">
        <f t="shared" si="41"/>
        <v>0.56172839506172845</v>
      </c>
      <c r="S316" s="8">
        <f t="shared" si="42"/>
        <v>77.269913269584094</v>
      </c>
      <c r="T316" s="8">
        <f t="shared" si="43"/>
        <v>13.730086730415906</v>
      </c>
      <c r="U316" t="str">
        <f t="shared" si="44"/>
        <v>Mid</v>
      </c>
    </row>
    <row r="317" spans="1:21">
      <c r="A317" s="1">
        <v>219</v>
      </c>
      <c r="B317" s="2">
        <v>2010</v>
      </c>
      <c r="C317" s="1" t="s">
        <v>40</v>
      </c>
      <c r="D317" s="1" t="s">
        <v>41</v>
      </c>
      <c r="E317" s="1" t="s">
        <v>17</v>
      </c>
      <c r="F317" s="1" t="s">
        <v>18</v>
      </c>
      <c r="G317" s="9">
        <v>84227000</v>
      </c>
      <c r="H317" s="1">
        <v>83</v>
      </c>
      <c r="I317" s="1">
        <v>79</v>
      </c>
      <c r="J317" s="5">
        <v>41.7</v>
      </c>
      <c r="K317" s="1" t="s">
        <v>19</v>
      </c>
      <c r="L317" s="1" t="s">
        <v>19</v>
      </c>
      <c r="M317" s="10">
        <f t="shared" si="36"/>
        <v>2019832.1342925658</v>
      </c>
      <c r="N317" s="10">
        <f t="shared" si="37"/>
        <v>1014783.1325301204</v>
      </c>
      <c r="O317" s="1">
        <f t="shared" si="38"/>
        <v>16</v>
      </c>
      <c r="P317" s="1">
        <f t="shared" si="39"/>
        <v>14</v>
      </c>
      <c r="Q317" s="1">
        <f t="shared" si="40"/>
        <v>2</v>
      </c>
      <c r="R317" s="6">
        <f t="shared" si="41"/>
        <v>0.51234567901234573</v>
      </c>
      <c r="S317" s="8">
        <f t="shared" si="42"/>
        <v>77.252743244319277</v>
      </c>
      <c r="T317" s="8">
        <f t="shared" si="43"/>
        <v>5.7472567556807235</v>
      </c>
      <c r="U317" t="str">
        <f t="shared" si="44"/>
        <v>Mid</v>
      </c>
    </row>
    <row r="318" spans="1:21">
      <c r="A318" s="1">
        <v>63</v>
      </c>
      <c r="B318" s="2">
        <v>2010</v>
      </c>
      <c r="C318" s="1" t="s">
        <v>24</v>
      </c>
      <c r="D318" s="1" t="s">
        <v>25</v>
      </c>
      <c r="E318" s="1" t="s">
        <v>26</v>
      </c>
      <c r="F318" s="1" t="s">
        <v>27</v>
      </c>
      <c r="G318" s="9">
        <v>81612500</v>
      </c>
      <c r="H318" s="1">
        <v>66</v>
      </c>
      <c r="I318" s="1">
        <v>96</v>
      </c>
      <c r="J318" s="5">
        <v>24.2</v>
      </c>
      <c r="K318" s="1" t="s">
        <v>19</v>
      </c>
      <c r="L318" s="1" t="s">
        <v>19</v>
      </c>
      <c r="M318" s="10">
        <f t="shared" si="36"/>
        <v>3372417.3553719008</v>
      </c>
      <c r="N318" s="10">
        <f t="shared" si="37"/>
        <v>1236553.0303030303</v>
      </c>
      <c r="O318" s="1">
        <f t="shared" si="38"/>
        <v>17</v>
      </c>
      <c r="P318" s="1">
        <f t="shared" si="39"/>
        <v>27</v>
      </c>
      <c r="Q318" s="1">
        <f t="shared" si="40"/>
        <v>-10</v>
      </c>
      <c r="R318" s="6">
        <f t="shared" si="41"/>
        <v>0.40740740740740738</v>
      </c>
      <c r="S318" s="8">
        <f t="shared" si="42"/>
        <v>77.024484151259216</v>
      </c>
      <c r="T318" s="8">
        <f t="shared" si="43"/>
        <v>-11.024484151259216</v>
      </c>
      <c r="U318" t="str">
        <f t="shared" si="44"/>
        <v>Mid</v>
      </c>
    </row>
    <row r="319" spans="1:21">
      <c r="A319" s="1">
        <v>401</v>
      </c>
      <c r="B319" s="2">
        <v>2010</v>
      </c>
      <c r="C319" s="1" t="s">
        <v>55</v>
      </c>
      <c r="D319" s="1" t="s">
        <v>56</v>
      </c>
      <c r="E319" s="1" t="s">
        <v>17</v>
      </c>
      <c r="F319" s="1" t="s">
        <v>32</v>
      </c>
      <c r="G319" s="9">
        <v>81108279</v>
      </c>
      <c r="H319" s="1">
        <v>77</v>
      </c>
      <c r="I319" s="1">
        <v>85</v>
      </c>
      <c r="J319" s="5">
        <v>29.7</v>
      </c>
      <c r="K319" s="1" t="s">
        <v>19</v>
      </c>
      <c r="L319" s="1" t="s">
        <v>19</v>
      </c>
      <c r="M319" s="10">
        <f t="shared" si="36"/>
        <v>2730918.4848484849</v>
      </c>
      <c r="N319" s="10">
        <f t="shared" si="37"/>
        <v>1053354.2727272727</v>
      </c>
      <c r="O319" s="1">
        <f t="shared" si="38"/>
        <v>18</v>
      </c>
      <c r="P319" s="1">
        <f t="shared" si="39"/>
        <v>21</v>
      </c>
      <c r="Q319" s="1">
        <f t="shared" si="40"/>
        <v>-3</v>
      </c>
      <c r="R319" s="6">
        <f t="shared" si="41"/>
        <v>0.47530864197530864</v>
      </c>
      <c r="S319" s="8">
        <f t="shared" si="42"/>
        <v>76.980463103960759</v>
      </c>
      <c r="T319" s="8">
        <f t="shared" si="43"/>
        <v>1.9536896039241469E-2</v>
      </c>
      <c r="U319" t="str">
        <f t="shared" si="44"/>
        <v>Mid</v>
      </c>
    </row>
    <row r="320" spans="1:21">
      <c r="A320" s="1">
        <v>167</v>
      </c>
      <c r="B320" s="2">
        <v>2010</v>
      </c>
      <c r="C320" s="1" t="s">
        <v>36</v>
      </c>
      <c r="D320" s="1" t="s">
        <v>37</v>
      </c>
      <c r="E320" s="1" t="s">
        <v>17</v>
      </c>
      <c r="F320" s="1" t="s">
        <v>32</v>
      </c>
      <c r="G320" s="9">
        <v>72386544</v>
      </c>
      <c r="H320" s="1">
        <v>91</v>
      </c>
      <c r="I320" s="1">
        <v>71</v>
      </c>
      <c r="J320" s="5">
        <v>44.9</v>
      </c>
      <c r="K320" s="1" t="s">
        <v>20</v>
      </c>
      <c r="L320" s="1" t="s">
        <v>19</v>
      </c>
      <c r="M320" s="10">
        <f t="shared" si="36"/>
        <v>1612172.4721603564</v>
      </c>
      <c r="N320" s="10">
        <f t="shared" si="37"/>
        <v>795456.52747252746</v>
      </c>
      <c r="O320" s="1">
        <f t="shared" si="38"/>
        <v>19</v>
      </c>
      <c r="P320" s="1">
        <f t="shared" si="39"/>
        <v>6</v>
      </c>
      <c r="Q320" s="1">
        <f t="shared" si="40"/>
        <v>13</v>
      </c>
      <c r="R320" s="6">
        <f t="shared" si="41"/>
        <v>0.56172839506172845</v>
      </c>
      <c r="S320" s="8">
        <f t="shared" si="42"/>
        <v>76.219011460812851</v>
      </c>
      <c r="T320" s="8">
        <f t="shared" si="43"/>
        <v>14.780988539187149</v>
      </c>
      <c r="U320" t="str">
        <f t="shared" si="44"/>
        <v>Low</v>
      </c>
    </row>
    <row r="321" spans="1:21">
      <c r="A321" s="1">
        <v>297</v>
      </c>
      <c r="B321" s="2">
        <v>2010</v>
      </c>
      <c r="C321" s="1" t="s">
        <v>47</v>
      </c>
      <c r="D321" s="1" t="s">
        <v>48</v>
      </c>
      <c r="E321" s="1" t="s">
        <v>26</v>
      </c>
      <c r="F321" s="1" t="s">
        <v>35</v>
      </c>
      <c r="G321" s="9">
        <v>72267710</v>
      </c>
      <c r="H321" s="1">
        <v>67</v>
      </c>
      <c r="I321" s="1">
        <v>95</v>
      </c>
      <c r="J321" s="5">
        <v>26.4</v>
      </c>
      <c r="K321" s="1" t="s">
        <v>19</v>
      </c>
      <c r="L321" s="1" t="s">
        <v>19</v>
      </c>
      <c r="M321" s="10">
        <f t="shared" si="36"/>
        <v>2737413.2575757578</v>
      </c>
      <c r="N321" s="10">
        <f t="shared" si="37"/>
        <v>1078622.5373134329</v>
      </c>
      <c r="O321" s="1">
        <f t="shared" si="38"/>
        <v>20</v>
      </c>
      <c r="P321" s="1">
        <f t="shared" si="39"/>
        <v>26</v>
      </c>
      <c r="Q321" s="1">
        <f t="shared" si="40"/>
        <v>-6</v>
      </c>
      <c r="R321" s="6">
        <f t="shared" si="41"/>
        <v>0.41358024691358025</v>
      </c>
      <c r="S321" s="8">
        <f t="shared" si="42"/>
        <v>76.208636650690579</v>
      </c>
      <c r="T321" s="8">
        <f t="shared" si="43"/>
        <v>-9.208636650690579</v>
      </c>
      <c r="U321" t="str">
        <f t="shared" si="44"/>
        <v>Low</v>
      </c>
    </row>
    <row r="322" spans="1:21">
      <c r="A322" s="1">
        <v>687</v>
      </c>
      <c r="B322" s="2">
        <v>2010</v>
      </c>
      <c r="C322" s="1" t="s">
        <v>77</v>
      </c>
      <c r="D322" s="1" t="s">
        <v>78</v>
      </c>
      <c r="E322" s="1" t="s">
        <v>26</v>
      </c>
      <c r="F322" s="1" t="s">
        <v>27</v>
      </c>
      <c r="G322" s="9">
        <v>71923471</v>
      </c>
      <c r="H322" s="1">
        <v>96</v>
      </c>
      <c r="I322" s="1">
        <v>66</v>
      </c>
      <c r="J322" s="5">
        <v>55.6</v>
      </c>
      <c r="K322" s="1" t="s">
        <v>20</v>
      </c>
      <c r="L322" s="1" t="s">
        <v>19</v>
      </c>
      <c r="M322" s="10">
        <f t="shared" ref="M322:M385" si="45">G322/J322</f>
        <v>1293587.607913669</v>
      </c>
      <c r="N322" s="10">
        <f t="shared" ref="N322:N385" si="46">G322/H322</f>
        <v>749202.82291666663</v>
      </c>
      <c r="O322" s="1">
        <f t="shared" si="38"/>
        <v>21</v>
      </c>
      <c r="P322" s="1">
        <f t="shared" si="39"/>
        <v>2</v>
      </c>
      <c r="Q322" s="1">
        <f t="shared" si="40"/>
        <v>19</v>
      </c>
      <c r="R322" s="6">
        <f t="shared" si="41"/>
        <v>0.59259259259259256</v>
      </c>
      <c r="S322" s="8">
        <f t="shared" si="42"/>
        <v>76.178582842338727</v>
      </c>
      <c r="T322" s="8">
        <f t="shared" si="43"/>
        <v>19.821417157661273</v>
      </c>
      <c r="U322" t="str">
        <f t="shared" si="44"/>
        <v>Low</v>
      </c>
    </row>
    <row r="323" spans="1:21">
      <c r="A323" s="1">
        <v>739</v>
      </c>
      <c r="B323" s="2">
        <v>2010</v>
      </c>
      <c r="C323" s="1" t="s">
        <v>81</v>
      </c>
      <c r="D323" s="1" t="s">
        <v>82</v>
      </c>
      <c r="E323" s="1" t="s">
        <v>26</v>
      </c>
      <c r="F323" s="1" t="s">
        <v>27</v>
      </c>
      <c r="G323" s="9">
        <v>62689357</v>
      </c>
      <c r="H323" s="1">
        <v>85</v>
      </c>
      <c r="I323" s="1">
        <v>77</v>
      </c>
      <c r="J323" s="5">
        <v>38.6</v>
      </c>
      <c r="K323" s="1" t="s">
        <v>19</v>
      </c>
      <c r="L323" s="1" t="s">
        <v>19</v>
      </c>
      <c r="M323" s="10">
        <f t="shared" si="45"/>
        <v>1624076.6062176165</v>
      </c>
      <c r="N323" s="10">
        <f t="shared" si="46"/>
        <v>737521.84705882357</v>
      </c>
      <c r="O323" s="1">
        <f t="shared" ref="O323:O386" si="47">COUNTIFS($B$2:$B$1000, B323, $G$2:$G$1000, "&gt;"&amp;G323) + 1</f>
        <v>22</v>
      </c>
      <c r="P323" s="1">
        <f t="shared" ref="P323:P386" si="48">COUNTIFS($B$2:$B$1000, B323, $H$2:$H$1000, "&gt;"&amp;H323) + 1</f>
        <v>13</v>
      </c>
      <c r="Q323" s="1">
        <f t="shared" ref="Q323:Q386" si="49">O323-P323</f>
        <v>9</v>
      </c>
      <c r="R323" s="6">
        <f t="shared" ref="R323:R386" si="50">H323/(H323+I323)</f>
        <v>0.52469135802469136</v>
      </c>
      <c r="S323" s="8">
        <f t="shared" ref="S323:S386" si="51">_xlfn.FORECAST.LINEAR(G323, $H$2:$H$781, $G$2:$G$781)</f>
        <v>75.372397917170161</v>
      </c>
      <c r="T323" s="8">
        <f t="shared" ref="T323:T386" si="52">H323-S323</f>
        <v>9.6276020828298385</v>
      </c>
      <c r="U323" t="str">
        <f t="shared" ref="U323:U386" si="53">IF(G323&lt;80000000,"Low",
 IF(G323&lt;150000000,"Mid","High"))</f>
        <v>Low</v>
      </c>
    </row>
    <row r="324" spans="1:21">
      <c r="A324" s="1">
        <v>765</v>
      </c>
      <c r="B324" s="2">
        <v>2010</v>
      </c>
      <c r="C324" s="1" t="s">
        <v>83</v>
      </c>
      <c r="D324" s="1" t="s">
        <v>84</v>
      </c>
      <c r="E324" s="1" t="s">
        <v>17</v>
      </c>
      <c r="F324" s="1" t="s">
        <v>23</v>
      </c>
      <c r="G324" s="9">
        <v>61425000</v>
      </c>
      <c r="H324" s="1">
        <v>69</v>
      </c>
      <c r="I324" s="1">
        <v>93</v>
      </c>
      <c r="J324" s="5">
        <v>23.9</v>
      </c>
      <c r="K324" s="1" t="s">
        <v>19</v>
      </c>
      <c r="L324" s="1" t="s">
        <v>19</v>
      </c>
      <c r="M324" s="10">
        <f t="shared" si="45"/>
        <v>2570083.6820083684</v>
      </c>
      <c r="N324" s="10">
        <f t="shared" si="46"/>
        <v>890217.39130434778</v>
      </c>
      <c r="O324" s="1">
        <f t="shared" si="47"/>
        <v>23</v>
      </c>
      <c r="P324" s="1">
        <f t="shared" si="48"/>
        <v>24</v>
      </c>
      <c r="Q324" s="1">
        <f t="shared" si="49"/>
        <v>-1</v>
      </c>
      <c r="R324" s="6">
        <f t="shared" si="50"/>
        <v>0.42592592592592593</v>
      </c>
      <c r="S324" s="8">
        <f t="shared" si="51"/>
        <v>75.262013146803312</v>
      </c>
      <c r="T324" s="8">
        <f t="shared" si="52"/>
        <v>-6.2620131468033122</v>
      </c>
      <c r="U324" t="str">
        <f t="shared" si="53"/>
        <v>Low</v>
      </c>
    </row>
    <row r="325" spans="1:21">
      <c r="A325" s="1">
        <v>193</v>
      </c>
      <c r="B325" s="2">
        <v>2010</v>
      </c>
      <c r="C325" s="1" t="s">
        <v>38</v>
      </c>
      <c r="D325" s="1" t="s">
        <v>39</v>
      </c>
      <c r="E325" s="1" t="s">
        <v>26</v>
      </c>
      <c r="F325" s="1" t="s">
        <v>35</v>
      </c>
      <c r="G325" s="9">
        <v>61203967</v>
      </c>
      <c r="H325" s="1">
        <v>69</v>
      </c>
      <c r="I325" s="1">
        <v>93</v>
      </c>
      <c r="J325" s="5">
        <v>26.1</v>
      </c>
      <c r="K325" s="1" t="s">
        <v>19</v>
      </c>
      <c r="L325" s="1" t="s">
        <v>19</v>
      </c>
      <c r="M325" s="10">
        <f t="shared" si="45"/>
        <v>2344979.5785440612</v>
      </c>
      <c r="N325" s="10">
        <f t="shared" si="46"/>
        <v>887014.01449275366</v>
      </c>
      <c r="O325" s="1">
        <f t="shared" si="47"/>
        <v>24</v>
      </c>
      <c r="P325" s="1">
        <f t="shared" si="48"/>
        <v>24</v>
      </c>
      <c r="Q325" s="1">
        <f t="shared" si="49"/>
        <v>0</v>
      </c>
      <c r="R325" s="6">
        <f t="shared" si="50"/>
        <v>0.42592592592592593</v>
      </c>
      <c r="S325" s="8">
        <f t="shared" si="51"/>
        <v>75.242715846318958</v>
      </c>
      <c r="T325" s="8">
        <f t="shared" si="52"/>
        <v>-6.2427158463189585</v>
      </c>
      <c r="U325" t="str">
        <f t="shared" si="53"/>
        <v>Low</v>
      </c>
    </row>
    <row r="326" spans="1:21">
      <c r="A326" s="1">
        <v>11</v>
      </c>
      <c r="B326" s="2">
        <v>2010</v>
      </c>
      <c r="C326" s="1" t="s">
        <v>15</v>
      </c>
      <c r="D326" s="1" t="s">
        <v>16</v>
      </c>
      <c r="E326" s="1" t="s">
        <v>17</v>
      </c>
      <c r="F326" s="1" t="s">
        <v>18</v>
      </c>
      <c r="G326" s="9">
        <v>60718167</v>
      </c>
      <c r="H326" s="1">
        <v>65</v>
      </c>
      <c r="I326" s="1">
        <v>97</v>
      </c>
      <c r="J326" s="5">
        <v>21.5</v>
      </c>
      <c r="K326" s="1" t="s">
        <v>19</v>
      </c>
      <c r="L326" s="1" t="s">
        <v>19</v>
      </c>
      <c r="M326" s="10">
        <f t="shared" si="45"/>
        <v>2824100.7906976743</v>
      </c>
      <c r="N326" s="10">
        <f t="shared" si="46"/>
        <v>934125.64615384617</v>
      </c>
      <c r="O326" s="1">
        <f t="shared" si="47"/>
        <v>25</v>
      </c>
      <c r="P326" s="1">
        <f t="shared" si="48"/>
        <v>28</v>
      </c>
      <c r="Q326" s="1">
        <f t="shared" si="49"/>
        <v>-3</v>
      </c>
      <c r="R326" s="6">
        <f t="shared" si="50"/>
        <v>0.40123456790123457</v>
      </c>
      <c r="S326" s="8">
        <f t="shared" si="51"/>
        <v>75.200303045627209</v>
      </c>
      <c r="T326" s="8">
        <f t="shared" si="52"/>
        <v>-10.200303045627209</v>
      </c>
      <c r="U326" t="str">
        <f t="shared" si="53"/>
        <v>Low</v>
      </c>
    </row>
    <row r="327" spans="1:21">
      <c r="A327" s="1">
        <v>375</v>
      </c>
      <c r="B327" s="2">
        <v>2010</v>
      </c>
      <c r="C327" s="1" t="s">
        <v>53</v>
      </c>
      <c r="D327" s="1" t="s">
        <v>54</v>
      </c>
      <c r="E327" s="1" t="s">
        <v>17</v>
      </c>
      <c r="F327" s="1" t="s">
        <v>23</v>
      </c>
      <c r="G327" s="9">
        <v>55641500</v>
      </c>
      <c r="H327" s="1">
        <v>80</v>
      </c>
      <c r="I327" s="1">
        <v>82</v>
      </c>
      <c r="J327" s="5">
        <v>32.799999999999997</v>
      </c>
      <c r="K327" s="1" t="s">
        <v>19</v>
      </c>
      <c r="L327" s="1" t="s">
        <v>19</v>
      </c>
      <c r="M327" s="10">
        <f t="shared" si="45"/>
        <v>1696387.1951219514</v>
      </c>
      <c r="N327" s="10">
        <f t="shared" si="46"/>
        <v>695518.75</v>
      </c>
      <c r="O327" s="1">
        <f t="shared" si="47"/>
        <v>26</v>
      </c>
      <c r="P327" s="1">
        <f t="shared" si="48"/>
        <v>17</v>
      </c>
      <c r="Q327" s="1">
        <f t="shared" si="49"/>
        <v>9</v>
      </c>
      <c r="R327" s="6">
        <f t="shared" si="50"/>
        <v>0.49382716049382713</v>
      </c>
      <c r="S327" s="8">
        <f t="shared" si="51"/>
        <v>74.757084302009716</v>
      </c>
      <c r="T327" s="8">
        <f t="shared" si="52"/>
        <v>5.2429156979902842</v>
      </c>
      <c r="U327" t="str">
        <f t="shared" si="53"/>
        <v>Low</v>
      </c>
    </row>
    <row r="328" spans="1:21">
      <c r="A328" s="1">
        <v>713</v>
      </c>
      <c r="B328" s="2">
        <v>2010</v>
      </c>
      <c r="C328" s="1" t="s">
        <v>79</v>
      </c>
      <c r="D328" s="1" t="s">
        <v>80</v>
      </c>
      <c r="E328" s="1" t="s">
        <v>26</v>
      </c>
      <c r="F328" s="1" t="s">
        <v>46</v>
      </c>
      <c r="G328" s="9">
        <v>55250545</v>
      </c>
      <c r="H328" s="1">
        <v>90</v>
      </c>
      <c r="I328" s="1">
        <v>72</v>
      </c>
      <c r="J328" s="5">
        <v>48.1</v>
      </c>
      <c r="K328" s="1" t="s">
        <v>20</v>
      </c>
      <c r="L328" s="1" t="s">
        <v>19</v>
      </c>
      <c r="M328" s="10">
        <f t="shared" si="45"/>
        <v>1148659.9792099791</v>
      </c>
      <c r="N328" s="10">
        <f t="shared" si="46"/>
        <v>613894.9444444445</v>
      </c>
      <c r="O328" s="1">
        <f t="shared" si="47"/>
        <v>27</v>
      </c>
      <c r="P328" s="1">
        <f t="shared" si="48"/>
        <v>8</v>
      </c>
      <c r="Q328" s="1">
        <f t="shared" si="49"/>
        <v>19</v>
      </c>
      <c r="R328" s="6">
        <f t="shared" si="50"/>
        <v>0.55555555555555558</v>
      </c>
      <c r="S328" s="8">
        <f t="shared" si="51"/>
        <v>74.722951950230296</v>
      </c>
      <c r="T328" s="8">
        <f t="shared" si="52"/>
        <v>15.277048049769704</v>
      </c>
      <c r="U328" t="str">
        <f t="shared" si="53"/>
        <v>Low</v>
      </c>
    </row>
    <row r="329" spans="1:21">
      <c r="A329" s="1">
        <v>505</v>
      </c>
      <c r="B329" s="2">
        <v>2010</v>
      </c>
      <c r="C329" s="1" t="s">
        <v>63</v>
      </c>
      <c r="D329" s="1" t="s">
        <v>64</v>
      </c>
      <c r="E329" s="1" t="s">
        <v>26</v>
      </c>
      <c r="F329" s="1" t="s">
        <v>46</v>
      </c>
      <c r="G329" s="9">
        <v>51654900</v>
      </c>
      <c r="H329" s="1">
        <v>81</v>
      </c>
      <c r="I329" s="1">
        <v>81</v>
      </c>
      <c r="J329" s="5">
        <v>42.5</v>
      </c>
      <c r="K329" s="1" t="s">
        <v>19</v>
      </c>
      <c r="L329" s="1" t="s">
        <v>19</v>
      </c>
      <c r="M329" s="10">
        <f t="shared" si="45"/>
        <v>1215409.4117647058</v>
      </c>
      <c r="N329" s="10">
        <f t="shared" si="46"/>
        <v>637714.81481481483</v>
      </c>
      <c r="O329" s="1">
        <f t="shared" si="47"/>
        <v>28</v>
      </c>
      <c r="P329" s="1">
        <f t="shared" si="48"/>
        <v>15</v>
      </c>
      <c r="Q329" s="1">
        <f t="shared" si="49"/>
        <v>13</v>
      </c>
      <c r="R329" s="6">
        <f t="shared" si="50"/>
        <v>0.5</v>
      </c>
      <c r="S329" s="8">
        <f t="shared" si="51"/>
        <v>74.409033928939053</v>
      </c>
      <c r="T329" s="8">
        <f t="shared" si="52"/>
        <v>6.5909660710609472</v>
      </c>
      <c r="U329" t="str">
        <f t="shared" si="53"/>
        <v>Low</v>
      </c>
    </row>
    <row r="330" spans="1:21">
      <c r="A330" s="1">
        <v>583</v>
      </c>
      <c r="B330" s="2">
        <v>2010</v>
      </c>
      <c r="C330" s="1" t="s">
        <v>69</v>
      </c>
      <c r="D330" s="1" t="s">
        <v>70</v>
      </c>
      <c r="E330" s="1" t="s">
        <v>17</v>
      </c>
      <c r="F330" s="1" t="s">
        <v>18</v>
      </c>
      <c r="G330" s="9">
        <v>37799300</v>
      </c>
      <c r="H330" s="1">
        <v>90</v>
      </c>
      <c r="I330" s="1">
        <v>72</v>
      </c>
      <c r="J330" s="5">
        <v>44.1</v>
      </c>
      <c r="K330" s="1" t="s">
        <v>19</v>
      </c>
      <c r="L330" s="1" t="s">
        <v>19</v>
      </c>
      <c r="M330" s="10">
        <f t="shared" si="45"/>
        <v>857126.98412698414</v>
      </c>
      <c r="N330" s="10">
        <f t="shared" si="46"/>
        <v>419992.22222222225</v>
      </c>
      <c r="O330" s="1">
        <f t="shared" si="47"/>
        <v>29</v>
      </c>
      <c r="P330" s="1">
        <f t="shared" si="48"/>
        <v>8</v>
      </c>
      <c r="Q330" s="1">
        <f t="shared" si="49"/>
        <v>21</v>
      </c>
      <c r="R330" s="6">
        <f t="shared" si="50"/>
        <v>0.55555555555555558</v>
      </c>
      <c r="S330" s="8">
        <f t="shared" si="51"/>
        <v>73.199369867052283</v>
      </c>
      <c r="T330" s="8">
        <f t="shared" si="52"/>
        <v>16.800630132947717</v>
      </c>
      <c r="U330" t="str">
        <f t="shared" si="53"/>
        <v>Low</v>
      </c>
    </row>
    <row r="331" spans="1:21">
      <c r="A331" s="1">
        <v>557</v>
      </c>
      <c r="B331" s="2">
        <v>2010</v>
      </c>
      <c r="C331" s="1" t="s">
        <v>67</v>
      </c>
      <c r="D331" s="1" t="s">
        <v>68</v>
      </c>
      <c r="E331" s="1" t="s">
        <v>17</v>
      </c>
      <c r="F331" s="1" t="s">
        <v>32</v>
      </c>
      <c r="G331" s="9">
        <v>34943000</v>
      </c>
      <c r="H331" s="1">
        <v>57</v>
      </c>
      <c r="I331" s="1">
        <v>105</v>
      </c>
      <c r="J331" s="5">
        <v>14.2</v>
      </c>
      <c r="K331" s="1" t="s">
        <v>19</v>
      </c>
      <c r="L331" s="1" t="s">
        <v>19</v>
      </c>
      <c r="M331" s="10">
        <f t="shared" si="45"/>
        <v>2460774.647887324</v>
      </c>
      <c r="N331" s="10">
        <f t="shared" si="46"/>
        <v>613035.0877192982</v>
      </c>
      <c r="O331" s="1">
        <f t="shared" si="47"/>
        <v>30</v>
      </c>
      <c r="P331" s="1">
        <f t="shared" si="48"/>
        <v>30</v>
      </c>
      <c r="Q331" s="1">
        <f t="shared" si="49"/>
        <v>0</v>
      </c>
      <c r="R331" s="6">
        <f t="shared" si="50"/>
        <v>0.35185185185185186</v>
      </c>
      <c r="S331" s="8">
        <f t="shared" si="51"/>
        <v>72.950000409218106</v>
      </c>
      <c r="T331" s="8">
        <f t="shared" si="52"/>
        <v>-15.950000409218106</v>
      </c>
      <c r="U331" t="str">
        <f t="shared" si="53"/>
        <v>Low</v>
      </c>
    </row>
    <row r="332" spans="1:21">
      <c r="A332" s="1">
        <v>480</v>
      </c>
      <c r="B332" s="2">
        <v>2011</v>
      </c>
      <c r="C332" s="1" t="s">
        <v>61</v>
      </c>
      <c r="D332" s="1" t="s">
        <v>62</v>
      </c>
      <c r="E332" s="1" t="s">
        <v>26</v>
      </c>
      <c r="F332" s="1" t="s">
        <v>27</v>
      </c>
      <c r="G332" s="9">
        <v>202689028</v>
      </c>
      <c r="H332" s="1">
        <v>97</v>
      </c>
      <c r="I332" s="1">
        <v>65</v>
      </c>
      <c r="J332" s="5">
        <v>52.2</v>
      </c>
      <c r="K332" s="1" t="s">
        <v>20</v>
      </c>
      <c r="L332" s="1" t="s">
        <v>19</v>
      </c>
      <c r="M332" s="10">
        <f t="shared" si="45"/>
        <v>3882931.5708812256</v>
      </c>
      <c r="N332" s="10">
        <f t="shared" si="46"/>
        <v>2089577.6082474226</v>
      </c>
      <c r="O332" s="1">
        <f t="shared" si="47"/>
        <v>1</v>
      </c>
      <c r="P332" s="1">
        <f t="shared" si="48"/>
        <v>2</v>
      </c>
      <c r="Q332" s="1">
        <f t="shared" si="49"/>
        <v>-1</v>
      </c>
      <c r="R332" s="6">
        <f t="shared" si="50"/>
        <v>0.59876543209876543</v>
      </c>
      <c r="S332" s="8">
        <f t="shared" si="51"/>
        <v>87.595078326872525</v>
      </c>
      <c r="T332" s="8">
        <f t="shared" si="52"/>
        <v>9.4049216731274754</v>
      </c>
      <c r="U332" t="str">
        <f t="shared" si="53"/>
        <v>High</v>
      </c>
    </row>
    <row r="333" spans="1:21">
      <c r="A333" s="1">
        <v>532</v>
      </c>
      <c r="B333" s="2">
        <v>2011</v>
      </c>
      <c r="C333" s="1" t="s">
        <v>65</v>
      </c>
      <c r="D333" s="1" t="s">
        <v>66</v>
      </c>
      <c r="E333" s="1" t="s">
        <v>17</v>
      </c>
      <c r="F333" s="1" t="s">
        <v>23</v>
      </c>
      <c r="G333" s="9">
        <v>172976381</v>
      </c>
      <c r="H333" s="1">
        <v>102</v>
      </c>
      <c r="I333" s="1">
        <v>60</v>
      </c>
      <c r="J333" s="5">
        <v>55.6</v>
      </c>
      <c r="K333" s="1" t="s">
        <v>20</v>
      </c>
      <c r="L333" s="1" t="s">
        <v>19</v>
      </c>
      <c r="M333" s="10">
        <f t="shared" si="45"/>
        <v>3111085.9892086331</v>
      </c>
      <c r="N333" s="10">
        <f t="shared" si="46"/>
        <v>1695846.8725490195</v>
      </c>
      <c r="O333" s="1">
        <f t="shared" si="47"/>
        <v>2</v>
      </c>
      <c r="P333" s="1">
        <f t="shared" si="48"/>
        <v>1</v>
      </c>
      <c r="Q333" s="1">
        <f t="shared" si="49"/>
        <v>1</v>
      </c>
      <c r="R333" s="6">
        <f t="shared" si="50"/>
        <v>0.62962962962962965</v>
      </c>
      <c r="S333" s="8">
        <f t="shared" si="51"/>
        <v>85.001013742197173</v>
      </c>
      <c r="T333" s="8">
        <f t="shared" si="52"/>
        <v>16.998986257802827</v>
      </c>
      <c r="U333" t="str">
        <f t="shared" si="53"/>
        <v>High</v>
      </c>
    </row>
    <row r="334" spans="1:21">
      <c r="A334" s="1">
        <v>90</v>
      </c>
      <c r="B334" s="2">
        <v>2011</v>
      </c>
      <c r="C334" s="1" t="s">
        <v>28</v>
      </c>
      <c r="D334" s="1" t="s">
        <v>29</v>
      </c>
      <c r="E334" s="1" t="s">
        <v>26</v>
      </c>
      <c r="F334" s="1" t="s">
        <v>27</v>
      </c>
      <c r="G334" s="9">
        <v>161407476</v>
      </c>
      <c r="H334" s="1">
        <v>90</v>
      </c>
      <c r="I334" s="1">
        <v>72</v>
      </c>
      <c r="J334" s="5">
        <v>48.2</v>
      </c>
      <c r="K334" s="1" t="s">
        <v>19</v>
      </c>
      <c r="L334" s="1" t="s">
        <v>19</v>
      </c>
      <c r="M334" s="10">
        <f t="shared" si="45"/>
        <v>3348702.8215767634</v>
      </c>
      <c r="N334" s="10">
        <f t="shared" si="46"/>
        <v>1793416.4</v>
      </c>
      <c r="O334" s="1">
        <f t="shared" si="47"/>
        <v>3</v>
      </c>
      <c r="P334" s="1">
        <f t="shared" si="48"/>
        <v>8</v>
      </c>
      <c r="Q334" s="1">
        <f t="shared" si="49"/>
        <v>-5</v>
      </c>
      <c r="R334" s="6">
        <f t="shared" si="50"/>
        <v>0.55555555555555558</v>
      </c>
      <c r="S334" s="8">
        <f t="shared" si="51"/>
        <v>83.990989736460705</v>
      </c>
      <c r="T334" s="8">
        <f t="shared" si="52"/>
        <v>6.0090102635392952</v>
      </c>
      <c r="U334" t="str">
        <f t="shared" si="53"/>
        <v>High</v>
      </c>
    </row>
    <row r="335" spans="1:21">
      <c r="A335" s="1">
        <v>324</v>
      </c>
      <c r="B335" s="2">
        <v>2011</v>
      </c>
      <c r="C335" s="1" t="s">
        <v>49</v>
      </c>
      <c r="D335" s="1" t="s">
        <v>50</v>
      </c>
      <c r="E335" s="1" t="s">
        <v>26</v>
      </c>
      <c r="F335" s="1" t="s">
        <v>46</v>
      </c>
      <c r="G335" s="9">
        <v>138543166</v>
      </c>
      <c r="H335" s="1">
        <v>86</v>
      </c>
      <c r="I335" s="1">
        <v>76</v>
      </c>
      <c r="J335" s="5">
        <v>26.1</v>
      </c>
      <c r="K335" s="1" t="s">
        <v>19</v>
      </c>
      <c r="L335" s="1" t="s">
        <v>19</v>
      </c>
      <c r="M335" s="10">
        <f t="shared" si="45"/>
        <v>5308167.2796934862</v>
      </c>
      <c r="N335" s="10">
        <f t="shared" si="46"/>
        <v>1610967.046511628</v>
      </c>
      <c r="O335" s="1">
        <f t="shared" si="47"/>
        <v>4</v>
      </c>
      <c r="P335" s="1">
        <f t="shared" si="48"/>
        <v>11</v>
      </c>
      <c r="Q335" s="1">
        <f t="shared" si="49"/>
        <v>-7</v>
      </c>
      <c r="R335" s="6">
        <f t="shared" si="50"/>
        <v>0.53086419753086422</v>
      </c>
      <c r="S335" s="8">
        <f t="shared" si="51"/>
        <v>81.994819660329867</v>
      </c>
      <c r="T335" s="8">
        <f t="shared" si="52"/>
        <v>4.0051803396701331</v>
      </c>
      <c r="U335" t="str">
        <f t="shared" si="53"/>
        <v>Mid</v>
      </c>
    </row>
    <row r="336" spans="1:21">
      <c r="A336" s="1">
        <v>142</v>
      </c>
      <c r="B336" s="2">
        <v>2011</v>
      </c>
      <c r="C336" s="1" t="s">
        <v>33</v>
      </c>
      <c r="D336" s="1" t="s">
        <v>34</v>
      </c>
      <c r="E336" s="1" t="s">
        <v>26</v>
      </c>
      <c r="F336" s="1" t="s">
        <v>35</v>
      </c>
      <c r="G336" s="9">
        <v>127789000</v>
      </c>
      <c r="H336" s="1">
        <v>79</v>
      </c>
      <c r="I336" s="1">
        <v>83</v>
      </c>
      <c r="J336" s="5">
        <v>34.700000000000003</v>
      </c>
      <c r="K336" s="1" t="s">
        <v>19</v>
      </c>
      <c r="L336" s="1" t="s">
        <v>19</v>
      </c>
      <c r="M336" s="10">
        <f t="shared" si="45"/>
        <v>3682680.1152737751</v>
      </c>
      <c r="N336" s="10">
        <f t="shared" si="46"/>
        <v>1617582.2784810127</v>
      </c>
      <c r="O336" s="1">
        <f t="shared" si="47"/>
        <v>5</v>
      </c>
      <c r="P336" s="1">
        <f t="shared" si="48"/>
        <v>17</v>
      </c>
      <c r="Q336" s="1">
        <f t="shared" si="49"/>
        <v>-12</v>
      </c>
      <c r="R336" s="6">
        <f t="shared" si="50"/>
        <v>0.48765432098765432</v>
      </c>
      <c r="S336" s="8">
        <f t="shared" si="51"/>
        <v>81.055926496138881</v>
      </c>
      <c r="T336" s="8">
        <f t="shared" si="52"/>
        <v>-2.0559264961388806</v>
      </c>
      <c r="U336" t="str">
        <f t="shared" si="53"/>
        <v>Mid</v>
      </c>
    </row>
    <row r="337" spans="1:21">
      <c r="A337" s="1">
        <v>116</v>
      </c>
      <c r="B337" s="2">
        <v>2011</v>
      </c>
      <c r="C337" s="1" t="s">
        <v>30</v>
      </c>
      <c r="D337" s="1" t="s">
        <v>31</v>
      </c>
      <c r="E337" s="1" t="s">
        <v>17</v>
      </c>
      <c r="F337" s="1" t="s">
        <v>32</v>
      </c>
      <c r="G337" s="9">
        <v>125047329</v>
      </c>
      <c r="H337" s="1">
        <v>71</v>
      </c>
      <c r="I337" s="1">
        <v>91</v>
      </c>
      <c r="J337" s="5">
        <v>23.1</v>
      </c>
      <c r="K337" s="1" t="s">
        <v>19</v>
      </c>
      <c r="L337" s="1" t="s">
        <v>19</v>
      </c>
      <c r="M337" s="10">
        <f t="shared" si="45"/>
        <v>5413304.2857142854</v>
      </c>
      <c r="N337" s="10">
        <f t="shared" si="46"/>
        <v>1761229.985915493</v>
      </c>
      <c r="O337" s="1">
        <f t="shared" si="47"/>
        <v>6</v>
      </c>
      <c r="P337" s="1">
        <f t="shared" si="48"/>
        <v>24</v>
      </c>
      <c r="Q337" s="1">
        <f t="shared" si="49"/>
        <v>-18</v>
      </c>
      <c r="R337" s="6">
        <f t="shared" si="50"/>
        <v>0.43827160493827161</v>
      </c>
      <c r="S337" s="8">
        <f t="shared" si="51"/>
        <v>80.816564730627661</v>
      </c>
      <c r="T337" s="8">
        <f t="shared" si="52"/>
        <v>-9.8165647306276611</v>
      </c>
      <c r="U337" t="str">
        <f t="shared" si="53"/>
        <v>Mid</v>
      </c>
    </row>
    <row r="338" spans="1:21">
      <c r="A338" s="1">
        <v>454</v>
      </c>
      <c r="B338" s="2">
        <v>2011</v>
      </c>
      <c r="C338" s="1" t="s">
        <v>59</v>
      </c>
      <c r="D338" s="1" t="s">
        <v>60</v>
      </c>
      <c r="E338" s="1" t="s">
        <v>17</v>
      </c>
      <c r="F338" s="1" t="s">
        <v>23</v>
      </c>
      <c r="G338" s="9">
        <v>118847309</v>
      </c>
      <c r="H338" s="1">
        <v>77</v>
      </c>
      <c r="I338" s="1">
        <v>85</v>
      </c>
      <c r="J338" s="5">
        <v>31.7</v>
      </c>
      <c r="K338" s="1" t="s">
        <v>19</v>
      </c>
      <c r="L338" s="1" t="s">
        <v>19</v>
      </c>
      <c r="M338" s="10">
        <f t="shared" si="45"/>
        <v>3749126.4668769715</v>
      </c>
      <c r="N338" s="10">
        <f t="shared" si="46"/>
        <v>1543471.5454545454</v>
      </c>
      <c r="O338" s="1">
        <f t="shared" si="47"/>
        <v>7</v>
      </c>
      <c r="P338" s="1">
        <f t="shared" si="48"/>
        <v>19</v>
      </c>
      <c r="Q338" s="1">
        <f t="shared" si="49"/>
        <v>-12</v>
      </c>
      <c r="R338" s="6">
        <f t="shared" si="50"/>
        <v>0.47530864197530864</v>
      </c>
      <c r="S338" s="8">
        <f t="shared" si="51"/>
        <v>80.275271580061883</v>
      </c>
      <c r="T338" s="8">
        <f t="shared" si="52"/>
        <v>-3.275271580061883</v>
      </c>
      <c r="U338" t="str">
        <f t="shared" si="53"/>
        <v>Mid</v>
      </c>
    </row>
    <row r="339" spans="1:21">
      <c r="A339" s="1">
        <v>610</v>
      </c>
      <c r="B339" s="2">
        <v>2011</v>
      </c>
      <c r="C339" s="1" t="s">
        <v>71</v>
      </c>
      <c r="D339" s="1" t="s">
        <v>72</v>
      </c>
      <c r="E339" s="1" t="s">
        <v>17</v>
      </c>
      <c r="F339" s="1" t="s">
        <v>18</v>
      </c>
      <c r="G339" s="9">
        <v>118198333</v>
      </c>
      <c r="H339" s="1">
        <v>86</v>
      </c>
      <c r="I339" s="1">
        <v>76</v>
      </c>
      <c r="J339" s="5">
        <v>39.5</v>
      </c>
      <c r="K339" s="1" t="s">
        <v>19</v>
      </c>
      <c r="L339" s="1" t="s">
        <v>19</v>
      </c>
      <c r="M339" s="10">
        <f t="shared" si="45"/>
        <v>2992362.8607594939</v>
      </c>
      <c r="N339" s="10">
        <f t="shared" si="46"/>
        <v>1374399.2209302327</v>
      </c>
      <c r="O339" s="1">
        <f t="shared" si="47"/>
        <v>8</v>
      </c>
      <c r="P339" s="1">
        <f t="shared" si="48"/>
        <v>11</v>
      </c>
      <c r="Q339" s="1">
        <f t="shared" si="49"/>
        <v>-3</v>
      </c>
      <c r="R339" s="6">
        <f t="shared" si="50"/>
        <v>0.53086419753086422</v>
      </c>
      <c r="S339" s="8">
        <f t="shared" si="51"/>
        <v>80.218612688045155</v>
      </c>
      <c r="T339" s="8">
        <f t="shared" si="52"/>
        <v>5.7813873119548447</v>
      </c>
      <c r="U339" t="str">
        <f t="shared" si="53"/>
        <v>Mid</v>
      </c>
    </row>
    <row r="340" spans="1:21">
      <c r="A340" s="1">
        <v>428</v>
      </c>
      <c r="B340" s="2">
        <v>2011</v>
      </c>
      <c r="C340" s="1" t="s">
        <v>57</v>
      </c>
      <c r="D340" s="1" t="s">
        <v>58</v>
      </c>
      <c r="E340" s="1" t="s">
        <v>26</v>
      </c>
      <c r="F340" s="1" t="s">
        <v>35</v>
      </c>
      <c r="G340" s="9">
        <v>112737000</v>
      </c>
      <c r="H340" s="1">
        <v>63</v>
      </c>
      <c r="I340" s="1">
        <v>99</v>
      </c>
      <c r="J340" s="5">
        <v>14.2</v>
      </c>
      <c r="K340" s="1" t="s">
        <v>19</v>
      </c>
      <c r="L340" s="1" t="s">
        <v>19</v>
      </c>
      <c r="M340" s="10">
        <f t="shared" si="45"/>
        <v>7939225.352112676</v>
      </c>
      <c r="N340" s="10">
        <f t="shared" si="46"/>
        <v>1789476.1904761905</v>
      </c>
      <c r="O340" s="1">
        <f t="shared" si="47"/>
        <v>9</v>
      </c>
      <c r="P340" s="1">
        <f t="shared" si="48"/>
        <v>29</v>
      </c>
      <c r="Q340" s="1">
        <f t="shared" si="49"/>
        <v>-20</v>
      </c>
      <c r="R340" s="6">
        <f t="shared" si="50"/>
        <v>0.3888888888888889</v>
      </c>
      <c r="S340" s="8">
        <f t="shared" si="51"/>
        <v>79.741810654203505</v>
      </c>
      <c r="T340" s="8">
        <f t="shared" si="52"/>
        <v>-16.741810654203505</v>
      </c>
      <c r="U340" t="str">
        <f t="shared" si="53"/>
        <v>Mid</v>
      </c>
    </row>
    <row r="341" spans="1:21">
      <c r="A341" s="1">
        <v>246</v>
      </c>
      <c r="B341" s="2">
        <v>2011</v>
      </c>
      <c r="C341" s="1" t="s">
        <v>42</v>
      </c>
      <c r="D341" s="1" t="s">
        <v>43</v>
      </c>
      <c r="E341" s="1" t="s">
        <v>26</v>
      </c>
      <c r="F341" s="1" t="s">
        <v>35</v>
      </c>
      <c r="G341" s="9">
        <v>105700231</v>
      </c>
      <c r="H341" s="1">
        <v>95</v>
      </c>
      <c r="I341" s="1">
        <v>67</v>
      </c>
      <c r="J341" s="5">
        <v>44.9</v>
      </c>
      <c r="K341" s="1" t="s">
        <v>20</v>
      </c>
      <c r="L341" s="1" t="s">
        <v>19</v>
      </c>
      <c r="M341" s="10">
        <f t="shared" si="45"/>
        <v>2354125.4120267262</v>
      </c>
      <c r="N341" s="10">
        <f t="shared" si="46"/>
        <v>1112634.0105263158</v>
      </c>
      <c r="O341" s="1">
        <f t="shared" si="47"/>
        <v>10</v>
      </c>
      <c r="P341" s="1">
        <f t="shared" si="48"/>
        <v>5</v>
      </c>
      <c r="Q341" s="1">
        <f t="shared" si="49"/>
        <v>5</v>
      </c>
      <c r="R341" s="6">
        <f t="shared" si="50"/>
        <v>0.5864197530864198</v>
      </c>
      <c r="S341" s="8">
        <f t="shared" si="51"/>
        <v>79.127465077606402</v>
      </c>
      <c r="T341" s="8">
        <f t="shared" si="52"/>
        <v>15.872534922393598</v>
      </c>
      <c r="U341" t="str">
        <f t="shared" si="53"/>
        <v>Mid</v>
      </c>
    </row>
    <row r="342" spans="1:21">
      <c r="A342" s="1">
        <v>662</v>
      </c>
      <c r="B342" s="2">
        <v>2011</v>
      </c>
      <c r="C342" s="1" t="s">
        <v>75</v>
      </c>
      <c r="D342" s="1" t="s">
        <v>76</v>
      </c>
      <c r="E342" s="1" t="s">
        <v>17</v>
      </c>
      <c r="F342" s="1" t="s">
        <v>32</v>
      </c>
      <c r="G342" s="9">
        <v>105433572</v>
      </c>
      <c r="H342" s="1">
        <v>90</v>
      </c>
      <c r="I342" s="1">
        <v>72</v>
      </c>
      <c r="J342" s="5">
        <v>42.5</v>
      </c>
      <c r="K342" s="1" t="s">
        <v>20</v>
      </c>
      <c r="L342" s="1" t="s">
        <v>20</v>
      </c>
      <c r="M342" s="10">
        <f t="shared" si="45"/>
        <v>2480789.9294117647</v>
      </c>
      <c r="N342" s="10">
        <f t="shared" si="46"/>
        <v>1171484.1333333333</v>
      </c>
      <c r="O342" s="1">
        <f t="shared" si="47"/>
        <v>11</v>
      </c>
      <c r="P342" s="1">
        <f t="shared" si="48"/>
        <v>8</v>
      </c>
      <c r="Q342" s="1">
        <f t="shared" si="49"/>
        <v>3</v>
      </c>
      <c r="R342" s="6">
        <f t="shared" si="50"/>
        <v>0.55555555555555558</v>
      </c>
      <c r="S342" s="8">
        <f t="shared" si="51"/>
        <v>79.104184396215572</v>
      </c>
      <c r="T342" s="8">
        <f t="shared" si="52"/>
        <v>10.895815603784428</v>
      </c>
      <c r="U342" t="str">
        <f t="shared" si="53"/>
        <v>Mid</v>
      </c>
    </row>
    <row r="343" spans="1:21">
      <c r="A343" s="1">
        <v>350</v>
      </c>
      <c r="B343" s="2">
        <v>2011</v>
      </c>
      <c r="C343" s="1" t="s">
        <v>51</v>
      </c>
      <c r="D343" s="1" t="s">
        <v>52</v>
      </c>
      <c r="E343" s="1" t="s">
        <v>17</v>
      </c>
      <c r="F343" s="1" t="s">
        <v>18</v>
      </c>
      <c r="G343" s="9">
        <v>104188999</v>
      </c>
      <c r="H343" s="1">
        <v>82</v>
      </c>
      <c r="I343" s="1">
        <v>79</v>
      </c>
      <c r="J343" s="5">
        <v>44.1</v>
      </c>
      <c r="K343" s="1" t="s">
        <v>19</v>
      </c>
      <c r="L343" s="1" t="s">
        <v>19</v>
      </c>
      <c r="M343" s="10">
        <f t="shared" si="45"/>
        <v>2362562.335600907</v>
      </c>
      <c r="N343" s="10">
        <f t="shared" si="46"/>
        <v>1270597.5487804879</v>
      </c>
      <c r="O343" s="1">
        <f t="shared" si="47"/>
        <v>12</v>
      </c>
      <c r="P343" s="1">
        <f t="shared" si="48"/>
        <v>13</v>
      </c>
      <c r="Q343" s="1">
        <f t="shared" si="49"/>
        <v>-1</v>
      </c>
      <c r="R343" s="6">
        <f t="shared" si="50"/>
        <v>0.50931677018633537</v>
      </c>
      <c r="S343" s="8">
        <f t="shared" si="51"/>
        <v>78.995526869259351</v>
      </c>
      <c r="T343" s="8">
        <f t="shared" si="52"/>
        <v>3.0044731307406494</v>
      </c>
      <c r="U343" t="str">
        <f t="shared" si="53"/>
        <v>Mid</v>
      </c>
    </row>
    <row r="344" spans="1:21">
      <c r="A344" s="1">
        <v>714</v>
      </c>
      <c r="B344" s="2">
        <v>2011</v>
      </c>
      <c r="C344" s="1" t="s">
        <v>79</v>
      </c>
      <c r="D344" s="1" t="s">
        <v>80</v>
      </c>
      <c r="E344" s="1" t="s">
        <v>26</v>
      </c>
      <c r="F344" s="1" t="s">
        <v>46</v>
      </c>
      <c r="G344" s="9">
        <v>92299264</v>
      </c>
      <c r="H344" s="1">
        <v>96</v>
      </c>
      <c r="I344" s="1">
        <v>66</v>
      </c>
      <c r="J344" s="5">
        <v>48.7</v>
      </c>
      <c r="K344" s="1" t="s">
        <v>20</v>
      </c>
      <c r="L344" s="1" t="s">
        <v>19</v>
      </c>
      <c r="M344" s="10">
        <f t="shared" si="45"/>
        <v>1895262.0944558519</v>
      </c>
      <c r="N344" s="10">
        <f t="shared" si="46"/>
        <v>961450.66666666663</v>
      </c>
      <c r="O344" s="1">
        <f t="shared" si="47"/>
        <v>13</v>
      </c>
      <c r="P344" s="1">
        <f t="shared" si="48"/>
        <v>3</v>
      </c>
      <c r="Q344" s="1">
        <f t="shared" si="49"/>
        <v>10</v>
      </c>
      <c r="R344" s="6">
        <f t="shared" si="50"/>
        <v>0.59259259259259256</v>
      </c>
      <c r="S344" s="8">
        <f t="shared" si="51"/>
        <v>77.957492779443157</v>
      </c>
      <c r="T344" s="8">
        <f t="shared" si="52"/>
        <v>18.042507220556843</v>
      </c>
      <c r="U344" t="str">
        <f t="shared" si="53"/>
        <v>Mid</v>
      </c>
    </row>
    <row r="345" spans="1:21">
      <c r="A345" s="1">
        <v>220</v>
      </c>
      <c r="B345" s="2">
        <v>2011</v>
      </c>
      <c r="C345" s="1" t="s">
        <v>40</v>
      </c>
      <c r="D345" s="1" t="s">
        <v>41</v>
      </c>
      <c r="E345" s="1" t="s">
        <v>17</v>
      </c>
      <c r="F345" s="1" t="s">
        <v>18</v>
      </c>
      <c r="G345" s="9">
        <v>88148071</v>
      </c>
      <c r="H345" s="1">
        <v>73</v>
      </c>
      <c r="I345" s="1">
        <v>89</v>
      </c>
      <c r="J345" s="5">
        <v>24.2</v>
      </c>
      <c r="K345" s="1" t="s">
        <v>19</v>
      </c>
      <c r="L345" s="1" t="s">
        <v>19</v>
      </c>
      <c r="M345" s="10">
        <f t="shared" si="45"/>
        <v>3642482.2727272729</v>
      </c>
      <c r="N345" s="10">
        <f t="shared" si="46"/>
        <v>1207507.8219178081</v>
      </c>
      <c r="O345" s="1">
        <f t="shared" si="47"/>
        <v>14</v>
      </c>
      <c r="P345" s="1">
        <f t="shared" si="48"/>
        <v>21</v>
      </c>
      <c r="Q345" s="1">
        <f t="shared" si="49"/>
        <v>-7</v>
      </c>
      <c r="R345" s="6">
        <f t="shared" si="50"/>
        <v>0.45061728395061729</v>
      </c>
      <c r="S345" s="8">
        <f t="shared" si="51"/>
        <v>77.595072603770078</v>
      </c>
      <c r="T345" s="8">
        <f t="shared" si="52"/>
        <v>-4.5950726037700775</v>
      </c>
      <c r="U345" t="str">
        <f t="shared" si="53"/>
        <v>Mid</v>
      </c>
    </row>
    <row r="346" spans="1:21">
      <c r="A346" s="1">
        <v>38</v>
      </c>
      <c r="B346" s="2">
        <v>2011</v>
      </c>
      <c r="C346" s="1" t="s">
        <v>21</v>
      </c>
      <c r="D346" s="1" t="s">
        <v>22</v>
      </c>
      <c r="E346" s="1" t="s">
        <v>17</v>
      </c>
      <c r="F346" s="1" t="s">
        <v>23</v>
      </c>
      <c r="G346" s="9">
        <v>87002692</v>
      </c>
      <c r="H346" s="1">
        <v>89</v>
      </c>
      <c r="I346" s="1">
        <v>73</v>
      </c>
      <c r="J346" s="5">
        <v>42.2</v>
      </c>
      <c r="K346" s="1" t="s">
        <v>19</v>
      </c>
      <c r="L346" s="1" t="s">
        <v>19</v>
      </c>
      <c r="M346" s="10">
        <f t="shared" si="45"/>
        <v>2061675.1658767771</v>
      </c>
      <c r="N346" s="10">
        <f t="shared" si="46"/>
        <v>977558.33707865165</v>
      </c>
      <c r="O346" s="1">
        <f t="shared" si="47"/>
        <v>15</v>
      </c>
      <c r="P346" s="1">
        <f t="shared" si="48"/>
        <v>10</v>
      </c>
      <c r="Q346" s="1">
        <f t="shared" si="49"/>
        <v>5</v>
      </c>
      <c r="R346" s="6">
        <f t="shared" si="50"/>
        <v>0.54938271604938271</v>
      </c>
      <c r="S346" s="8">
        <f t="shared" si="51"/>
        <v>77.495075215454889</v>
      </c>
      <c r="T346" s="8">
        <f t="shared" si="52"/>
        <v>11.504924784545111</v>
      </c>
      <c r="U346" t="str">
        <f t="shared" si="53"/>
        <v>Mid</v>
      </c>
    </row>
    <row r="347" spans="1:21">
      <c r="A347" s="1">
        <v>636</v>
      </c>
      <c r="B347" s="2">
        <v>2011</v>
      </c>
      <c r="C347" s="1" t="s">
        <v>73</v>
      </c>
      <c r="D347" s="1" t="s">
        <v>74</v>
      </c>
      <c r="E347" s="1" t="s">
        <v>26</v>
      </c>
      <c r="F347" s="1" t="s">
        <v>46</v>
      </c>
      <c r="G347" s="9">
        <v>86524600</v>
      </c>
      <c r="H347" s="1">
        <v>67</v>
      </c>
      <c r="I347" s="1">
        <v>95</v>
      </c>
      <c r="J347" s="5">
        <v>29.1</v>
      </c>
      <c r="K347" s="1" t="s">
        <v>19</v>
      </c>
      <c r="L347" s="1" t="s">
        <v>19</v>
      </c>
      <c r="M347" s="10">
        <f t="shared" si="45"/>
        <v>2973353.9518900341</v>
      </c>
      <c r="N347" s="10">
        <f t="shared" si="46"/>
        <v>1291411.9402985075</v>
      </c>
      <c r="O347" s="1">
        <f t="shared" si="47"/>
        <v>16</v>
      </c>
      <c r="P347" s="1">
        <f t="shared" si="48"/>
        <v>28</v>
      </c>
      <c r="Q347" s="1">
        <f t="shared" si="49"/>
        <v>-12</v>
      </c>
      <c r="R347" s="6">
        <f t="shared" si="50"/>
        <v>0.41358024691358025</v>
      </c>
      <c r="S347" s="8">
        <f t="shared" si="51"/>
        <v>77.453335362205991</v>
      </c>
      <c r="T347" s="8">
        <f t="shared" si="52"/>
        <v>-10.453335362205991</v>
      </c>
      <c r="U347" t="str">
        <f t="shared" si="53"/>
        <v>Mid</v>
      </c>
    </row>
    <row r="348" spans="1:21">
      <c r="A348" s="1">
        <v>402</v>
      </c>
      <c r="B348" s="2">
        <v>2011</v>
      </c>
      <c r="C348" s="1" t="s">
        <v>55</v>
      </c>
      <c r="D348" s="1" t="s">
        <v>56</v>
      </c>
      <c r="E348" s="1" t="s">
        <v>17</v>
      </c>
      <c r="F348" s="1" t="s">
        <v>32</v>
      </c>
      <c r="G348" s="9">
        <v>85497333</v>
      </c>
      <c r="H348" s="1">
        <v>96</v>
      </c>
      <c r="I348" s="1">
        <v>66</v>
      </c>
      <c r="J348" s="5">
        <v>45.6</v>
      </c>
      <c r="K348" s="1" t="s">
        <v>20</v>
      </c>
      <c r="L348" s="1" t="s">
        <v>19</v>
      </c>
      <c r="M348" s="10">
        <f t="shared" si="45"/>
        <v>1874941.5131578946</v>
      </c>
      <c r="N348" s="10">
        <f t="shared" si="46"/>
        <v>890597.21875</v>
      </c>
      <c r="O348" s="1">
        <f t="shared" si="47"/>
        <v>17</v>
      </c>
      <c r="P348" s="1">
        <f t="shared" si="48"/>
        <v>3</v>
      </c>
      <c r="Q348" s="1">
        <f t="shared" si="49"/>
        <v>14</v>
      </c>
      <c r="R348" s="6">
        <f t="shared" si="50"/>
        <v>0.59259259259259256</v>
      </c>
      <c r="S348" s="8">
        <f t="shared" si="51"/>
        <v>77.363649749755979</v>
      </c>
      <c r="T348" s="8">
        <f t="shared" si="52"/>
        <v>18.636350250244021</v>
      </c>
      <c r="U348" t="str">
        <f t="shared" si="53"/>
        <v>Mid</v>
      </c>
    </row>
    <row r="349" spans="1:21">
      <c r="A349" s="1">
        <v>64</v>
      </c>
      <c r="B349" s="2">
        <v>2011</v>
      </c>
      <c r="C349" s="1" t="s">
        <v>24</v>
      </c>
      <c r="D349" s="1" t="s">
        <v>25</v>
      </c>
      <c r="E349" s="1" t="s">
        <v>26</v>
      </c>
      <c r="F349" s="1" t="s">
        <v>27</v>
      </c>
      <c r="G349" s="9">
        <v>85394938</v>
      </c>
      <c r="H349" s="1">
        <v>69</v>
      </c>
      <c r="I349" s="1">
        <v>93</v>
      </c>
      <c r="J349" s="5">
        <v>20.8</v>
      </c>
      <c r="K349" s="1" t="s">
        <v>19</v>
      </c>
      <c r="L349" s="1" t="s">
        <v>19</v>
      </c>
      <c r="M349" s="10">
        <f t="shared" si="45"/>
        <v>4105525.865384615</v>
      </c>
      <c r="N349" s="10">
        <f t="shared" si="46"/>
        <v>1237607.7971014492</v>
      </c>
      <c r="O349" s="1">
        <f t="shared" si="47"/>
        <v>18</v>
      </c>
      <c r="P349" s="1">
        <f t="shared" si="48"/>
        <v>27</v>
      </c>
      <c r="Q349" s="1">
        <f t="shared" si="49"/>
        <v>-9</v>
      </c>
      <c r="R349" s="6">
        <f t="shared" si="50"/>
        <v>0.42592592592592593</v>
      </c>
      <c r="S349" s="8">
        <f t="shared" si="51"/>
        <v>77.354710147601125</v>
      </c>
      <c r="T349" s="8">
        <f t="shared" si="52"/>
        <v>-8.354710147601125</v>
      </c>
      <c r="U349" t="str">
        <f t="shared" si="53"/>
        <v>Mid</v>
      </c>
    </row>
    <row r="350" spans="1:21">
      <c r="A350" s="1">
        <v>168</v>
      </c>
      <c r="B350" s="2">
        <v>2011</v>
      </c>
      <c r="C350" s="1" t="s">
        <v>36</v>
      </c>
      <c r="D350" s="1" t="s">
        <v>37</v>
      </c>
      <c r="E350" s="1" t="s">
        <v>17</v>
      </c>
      <c r="F350" s="1" t="s">
        <v>32</v>
      </c>
      <c r="G350" s="9">
        <v>75947134</v>
      </c>
      <c r="H350" s="1">
        <v>79</v>
      </c>
      <c r="I350" s="1">
        <v>83</v>
      </c>
      <c r="J350" s="5">
        <v>31.3</v>
      </c>
      <c r="K350" s="1" t="s">
        <v>19</v>
      </c>
      <c r="L350" s="1" t="s">
        <v>19</v>
      </c>
      <c r="M350" s="10">
        <f t="shared" si="45"/>
        <v>2426426.0063897762</v>
      </c>
      <c r="N350" s="10">
        <f t="shared" si="46"/>
        <v>961356.12658227852</v>
      </c>
      <c r="O350" s="1">
        <f t="shared" si="47"/>
        <v>19</v>
      </c>
      <c r="P350" s="1">
        <f t="shared" si="48"/>
        <v>17</v>
      </c>
      <c r="Q350" s="1">
        <f t="shared" si="49"/>
        <v>2</v>
      </c>
      <c r="R350" s="6">
        <f t="shared" si="50"/>
        <v>0.48765432098765432</v>
      </c>
      <c r="S350" s="8">
        <f t="shared" si="51"/>
        <v>76.529869003042236</v>
      </c>
      <c r="T350" s="8">
        <f t="shared" si="52"/>
        <v>2.4701309969577636</v>
      </c>
      <c r="U350" t="str">
        <f t="shared" si="53"/>
        <v>Low</v>
      </c>
    </row>
    <row r="351" spans="1:21">
      <c r="A351" s="1">
        <v>272</v>
      </c>
      <c r="B351" s="2">
        <v>2011</v>
      </c>
      <c r="C351" s="1" t="s">
        <v>44</v>
      </c>
      <c r="D351" s="1" t="s">
        <v>45</v>
      </c>
      <c r="E351" s="1" t="s">
        <v>26</v>
      </c>
      <c r="F351" s="1" t="s">
        <v>46</v>
      </c>
      <c r="G351" s="9">
        <v>70694000</v>
      </c>
      <c r="H351" s="1">
        <v>56</v>
      </c>
      <c r="I351" s="1">
        <v>106</v>
      </c>
      <c r="J351" s="5">
        <v>26.4</v>
      </c>
      <c r="K351" s="1" t="s">
        <v>19</v>
      </c>
      <c r="L351" s="1" t="s">
        <v>19</v>
      </c>
      <c r="M351" s="10">
        <f t="shared" si="45"/>
        <v>2677803.0303030303</v>
      </c>
      <c r="N351" s="10">
        <f t="shared" si="46"/>
        <v>1262392.857142857</v>
      </c>
      <c r="O351" s="1">
        <f t="shared" si="47"/>
        <v>20</v>
      </c>
      <c r="P351" s="1">
        <f t="shared" si="48"/>
        <v>30</v>
      </c>
      <c r="Q351" s="1">
        <f t="shared" si="49"/>
        <v>-10</v>
      </c>
      <c r="R351" s="6">
        <f t="shared" si="50"/>
        <v>0.34567901234567899</v>
      </c>
      <c r="S351" s="8">
        <f t="shared" si="51"/>
        <v>76.071243796477702</v>
      </c>
      <c r="T351" s="8">
        <f t="shared" si="52"/>
        <v>-20.071243796477702</v>
      </c>
      <c r="U351" t="str">
        <f t="shared" si="53"/>
        <v>Low</v>
      </c>
    </row>
    <row r="352" spans="1:21">
      <c r="A352" s="1">
        <v>506</v>
      </c>
      <c r="B352" s="2">
        <v>2011</v>
      </c>
      <c r="C352" s="1" t="s">
        <v>63</v>
      </c>
      <c r="D352" s="1" t="s">
        <v>64</v>
      </c>
      <c r="E352" s="1" t="s">
        <v>26</v>
      </c>
      <c r="F352" s="1" t="s">
        <v>46</v>
      </c>
      <c r="G352" s="9">
        <v>66536500</v>
      </c>
      <c r="H352" s="1">
        <v>74</v>
      </c>
      <c r="I352" s="1">
        <v>88</v>
      </c>
      <c r="J352" s="5">
        <v>36.6</v>
      </c>
      <c r="K352" s="1" t="s">
        <v>19</v>
      </c>
      <c r="L352" s="1" t="s">
        <v>19</v>
      </c>
      <c r="M352" s="10">
        <f t="shared" si="45"/>
        <v>1817937.1584699452</v>
      </c>
      <c r="N352" s="10">
        <f t="shared" si="46"/>
        <v>899141.89189189184</v>
      </c>
      <c r="O352" s="1">
        <f t="shared" si="47"/>
        <v>21</v>
      </c>
      <c r="P352" s="1">
        <f t="shared" si="48"/>
        <v>20</v>
      </c>
      <c r="Q352" s="1">
        <f t="shared" si="49"/>
        <v>1</v>
      </c>
      <c r="R352" s="6">
        <f t="shared" si="50"/>
        <v>0.4567901234567901</v>
      </c>
      <c r="S352" s="8">
        <f t="shared" si="51"/>
        <v>75.708272987758178</v>
      </c>
      <c r="T352" s="8">
        <f t="shared" si="52"/>
        <v>-1.7082729877581784</v>
      </c>
      <c r="U352" t="str">
        <f t="shared" si="53"/>
        <v>Low</v>
      </c>
    </row>
    <row r="353" spans="1:21">
      <c r="A353" s="1">
        <v>766</v>
      </c>
      <c r="B353" s="2">
        <v>2011</v>
      </c>
      <c r="C353" s="1" t="s">
        <v>83</v>
      </c>
      <c r="D353" s="1" t="s">
        <v>84</v>
      </c>
      <c r="E353" s="1" t="s">
        <v>17</v>
      </c>
      <c r="F353" s="1" t="s">
        <v>23</v>
      </c>
      <c r="G353" s="9">
        <v>63856928</v>
      </c>
      <c r="H353" s="1">
        <v>80</v>
      </c>
      <c r="I353" s="1">
        <v>81</v>
      </c>
      <c r="J353" s="5">
        <v>31.4</v>
      </c>
      <c r="K353" s="1" t="s">
        <v>19</v>
      </c>
      <c r="L353" s="1" t="s">
        <v>19</v>
      </c>
      <c r="M353" s="10">
        <f t="shared" si="45"/>
        <v>2033660.1273885351</v>
      </c>
      <c r="N353" s="10">
        <f t="shared" si="46"/>
        <v>798211.6</v>
      </c>
      <c r="O353" s="1">
        <f t="shared" si="47"/>
        <v>22</v>
      </c>
      <c r="P353" s="1">
        <f t="shared" si="48"/>
        <v>15</v>
      </c>
      <c r="Q353" s="1">
        <f t="shared" si="49"/>
        <v>7</v>
      </c>
      <c r="R353" s="6">
        <f t="shared" si="50"/>
        <v>0.49689440993788819</v>
      </c>
      <c r="S353" s="8">
        <f t="shared" si="51"/>
        <v>75.474332779493068</v>
      </c>
      <c r="T353" s="8">
        <f t="shared" si="52"/>
        <v>4.5256672205069322</v>
      </c>
      <c r="U353" t="str">
        <f t="shared" si="53"/>
        <v>Low</v>
      </c>
    </row>
    <row r="354" spans="1:21">
      <c r="A354" s="1">
        <v>740</v>
      </c>
      <c r="B354" s="2">
        <v>2011</v>
      </c>
      <c r="C354" s="1" t="s">
        <v>81</v>
      </c>
      <c r="D354" s="1" t="s">
        <v>82</v>
      </c>
      <c r="E354" s="1" t="s">
        <v>26</v>
      </c>
      <c r="F354" s="1" t="s">
        <v>27</v>
      </c>
      <c r="G354" s="9">
        <v>62567800</v>
      </c>
      <c r="H354" s="1">
        <v>81</v>
      </c>
      <c r="I354" s="1">
        <v>81</v>
      </c>
      <c r="J354" s="5">
        <v>38.6</v>
      </c>
      <c r="K354" s="1" t="s">
        <v>19</v>
      </c>
      <c r="L354" s="1" t="s">
        <v>19</v>
      </c>
      <c r="M354" s="10">
        <f t="shared" si="45"/>
        <v>1620927.4611398964</v>
      </c>
      <c r="N354" s="10">
        <f t="shared" si="46"/>
        <v>772441.97530864202</v>
      </c>
      <c r="O354" s="1">
        <f t="shared" si="47"/>
        <v>23</v>
      </c>
      <c r="P354" s="1">
        <f t="shared" si="48"/>
        <v>14</v>
      </c>
      <c r="Q354" s="1">
        <f t="shared" si="49"/>
        <v>9</v>
      </c>
      <c r="R354" s="6">
        <f t="shared" si="50"/>
        <v>0.5</v>
      </c>
      <c r="S354" s="8">
        <f t="shared" si="51"/>
        <v>75.361785375355254</v>
      </c>
      <c r="T354" s="8">
        <f t="shared" si="52"/>
        <v>5.6382146246447462</v>
      </c>
      <c r="U354" t="str">
        <f t="shared" si="53"/>
        <v>Low</v>
      </c>
    </row>
    <row r="355" spans="1:21">
      <c r="A355" s="1">
        <v>376</v>
      </c>
      <c r="B355" s="2">
        <v>2011</v>
      </c>
      <c r="C355" s="1" t="s">
        <v>53</v>
      </c>
      <c r="D355" s="1" t="s">
        <v>54</v>
      </c>
      <c r="E355" s="1" t="s">
        <v>17</v>
      </c>
      <c r="F355" s="1" t="s">
        <v>23</v>
      </c>
      <c r="G355" s="9">
        <v>56944000</v>
      </c>
      <c r="H355" s="1">
        <v>72</v>
      </c>
      <c r="I355" s="1">
        <v>90</v>
      </c>
      <c r="J355" s="5">
        <v>35.200000000000003</v>
      </c>
      <c r="K355" s="1" t="s">
        <v>19</v>
      </c>
      <c r="L355" s="1" t="s">
        <v>19</v>
      </c>
      <c r="M355" s="10">
        <f t="shared" si="45"/>
        <v>1617727.2727272727</v>
      </c>
      <c r="N355" s="10">
        <f t="shared" si="46"/>
        <v>790888.88888888888</v>
      </c>
      <c r="O355" s="1">
        <f t="shared" si="47"/>
        <v>24</v>
      </c>
      <c r="P355" s="1">
        <f t="shared" si="48"/>
        <v>22</v>
      </c>
      <c r="Q355" s="1">
        <f t="shared" si="49"/>
        <v>2</v>
      </c>
      <c r="R355" s="6">
        <f t="shared" si="50"/>
        <v>0.44444444444444442</v>
      </c>
      <c r="S355" s="8">
        <f t="shared" si="51"/>
        <v>74.870799149479879</v>
      </c>
      <c r="T355" s="8">
        <f t="shared" si="52"/>
        <v>-2.870799149479879</v>
      </c>
      <c r="U355" t="str">
        <f t="shared" si="53"/>
        <v>Low</v>
      </c>
    </row>
    <row r="356" spans="1:21">
      <c r="A356" s="1">
        <v>12</v>
      </c>
      <c r="B356" s="2">
        <v>2011</v>
      </c>
      <c r="C356" s="1" t="s">
        <v>15</v>
      </c>
      <c r="D356" s="1" t="s">
        <v>16</v>
      </c>
      <c r="E356" s="1" t="s">
        <v>17</v>
      </c>
      <c r="F356" s="1" t="s">
        <v>18</v>
      </c>
      <c r="G356" s="9">
        <v>53639833</v>
      </c>
      <c r="H356" s="1">
        <v>94</v>
      </c>
      <c r="I356" s="1">
        <v>68</v>
      </c>
      <c r="J356" s="5">
        <v>43.7</v>
      </c>
      <c r="K356" s="1" t="s">
        <v>20</v>
      </c>
      <c r="L356" s="1" t="s">
        <v>19</v>
      </c>
      <c r="M356" s="10">
        <f t="shared" si="45"/>
        <v>1227456.1327231121</v>
      </c>
      <c r="N356" s="10">
        <f t="shared" si="46"/>
        <v>570636.52127659577</v>
      </c>
      <c r="O356" s="1">
        <f t="shared" si="47"/>
        <v>25</v>
      </c>
      <c r="P356" s="1">
        <f t="shared" si="48"/>
        <v>6</v>
      </c>
      <c r="Q356" s="1">
        <f t="shared" si="49"/>
        <v>19</v>
      </c>
      <c r="R356" s="6">
        <f t="shared" si="50"/>
        <v>0.58024691358024694</v>
      </c>
      <c r="S356" s="8">
        <f t="shared" si="51"/>
        <v>74.582328633993555</v>
      </c>
      <c r="T356" s="8">
        <f t="shared" si="52"/>
        <v>19.417671366006445</v>
      </c>
      <c r="U356" t="str">
        <f t="shared" si="53"/>
        <v>Low</v>
      </c>
    </row>
    <row r="357" spans="1:21">
      <c r="A357" s="1">
        <v>194</v>
      </c>
      <c r="B357" s="2">
        <v>2011</v>
      </c>
      <c r="C357" s="1" t="s">
        <v>38</v>
      </c>
      <c r="D357" s="1" t="s">
        <v>39</v>
      </c>
      <c r="E357" s="1" t="s">
        <v>26</v>
      </c>
      <c r="F357" s="1" t="s">
        <v>35</v>
      </c>
      <c r="G357" s="9">
        <v>49190566</v>
      </c>
      <c r="H357" s="1">
        <v>80</v>
      </c>
      <c r="I357" s="1">
        <v>82</v>
      </c>
      <c r="J357" s="5">
        <v>32.799999999999997</v>
      </c>
      <c r="K357" s="1" t="s">
        <v>19</v>
      </c>
      <c r="L357" s="1" t="s">
        <v>19</v>
      </c>
      <c r="M357" s="10">
        <f t="shared" si="45"/>
        <v>1499712.3780487806</v>
      </c>
      <c r="N357" s="10">
        <f t="shared" si="46"/>
        <v>614882.07499999995</v>
      </c>
      <c r="O357" s="1">
        <f t="shared" si="47"/>
        <v>26</v>
      </c>
      <c r="P357" s="1">
        <f t="shared" si="48"/>
        <v>15</v>
      </c>
      <c r="Q357" s="1">
        <f t="shared" si="49"/>
        <v>11</v>
      </c>
      <c r="R357" s="6">
        <f t="shared" si="50"/>
        <v>0.49382716049382713</v>
      </c>
      <c r="S357" s="8">
        <f t="shared" si="51"/>
        <v>74.193885088305251</v>
      </c>
      <c r="T357" s="8">
        <f t="shared" si="52"/>
        <v>5.806114911694749</v>
      </c>
      <c r="U357" t="str">
        <f t="shared" si="53"/>
        <v>Low</v>
      </c>
    </row>
    <row r="358" spans="1:21">
      <c r="A358" s="1">
        <v>584</v>
      </c>
      <c r="B358" s="2">
        <v>2011</v>
      </c>
      <c r="C358" s="1" t="s">
        <v>69</v>
      </c>
      <c r="D358" s="1" t="s">
        <v>70</v>
      </c>
      <c r="E358" s="1" t="s">
        <v>17</v>
      </c>
      <c r="F358" s="1" t="s">
        <v>18</v>
      </c>
      <c r="G358" s="9">
        <v>45869140</v>
      </c>
      <c r="H358" s="1">
        <v>71</v>
      </c>
      <c r="I358" s="1">
        <v>91</v>
      </c>
      <c r="J358" s="5">
        <v>29.7</v>
      </c>
      <c r="K358" s="1" t="s">
        <v>19</v>
      </c>
      <c r="L358" s="1" t="s">
        <v>19</v>
      </c>
      <c r="M358" s="10">
        <f t="shared" si="45"/>
        <v>1544415.4882154881</v>
      </c>
      <c r="N358" s="10">
        <f t="shared" si="46"/>
        <v>646044.22535211267</v>
      </c>
      <c r="O358" s="1">
        <f t="shared" si="47"/>
        <v>27</v>
      </c>
      <c r="P358" s="1">
        <f t="shared" si="48"/>
        <v>24</v>
      </c>
      <c r="Q358" s="1">
        <f t="shared" si="49"/>
        <v>3</v>
      </c>
      <c r="R358" s="6">
        <f t="shared" si="50"/>
        <v>0.43827160493827161</v>
      </c>
      <c r="S358" s="8">
        <f t="shared" si="51"/>
        <v>73.903907774698027</v>
      </c>
      <c r="T358" s="8">
        <f t="shared" si="52"/>
        <v>-2.9039077746980269</v>
      </c>
      <c r="U358" t="str">
        <f t="shared" si="53"/>
        <v>Low</v>
      </c>
    </row>
    <row r="359" spans="1:21">
      <c r="A359" s="1">
        <v>558</v>
      </c>
      <c r="B359" s="2">
        <v>2011</v>
      </c>
      <c r="C359" s="1" t="s">
        <v>67</v>
      </c>
      <c r="D359" s="1" t="s">
        <v>68</v>
      </c>
      <c r="E359" s="1" t="s">
        <v>17</v>
      </c>
      <c r="F359" s="1" t="s">
        <v>32</v>
      </c>
      <c r="G359" s="9">
        <v>45047000</v>
      </c>
      <c r="H359" s="1">
        <v>72</v>
      </c>
      <c r="I359" s="1">
        <v>90</v>
      </c>
      <c r="J359" s="5">
        <v>21.5</v>
      </c>
      <c r="K359" s="1" t="s">
        <v>19</v>
      </c>
      <c r="L359" s="1" t="s">
        <v>19</v>
      </c>
      <c r="M359" s="10">
        <f t="shared" si="45"/>
        <v>2095209.3023255814</v>
      </c>
      <c r="N359" s="10">
        <f t="shared" si="46"/>
        <v>625652.77777777775</v>
      </c>
      <c r="O359" s="1">
        <f t="shared" si="47"/>
        <v>28</v>
      </c>
      <c r="P359" s="1">
        <f t="shared" si="48"/>
        <v>22</v>
      </c>
      <c r="Q359" s="1">
        <f t="shared" si="49"/>
        <v>6</v>
      </c>
      <c r="R359" s="6">
        <f t="shared" si="50"/>
        <v>0.44444444444444442</v>
      </c>
      <c r="S359" s="8">
        <f t="shared" si="51"/>
        <v>73.832130788364736</v>
      </c>
      <c r="T359" s="8">
        <f t="shared" si="52"/>
        <v>-1.8321307883647364</v>
      </c>
      <c r="U359" t="str">
        <f t="shared" si="53"/>
        <v>Low</v>
      </c>
    </row>
    <row r="360" spans="1:21">
      <c r="A360" s="1">
        <v>688</v>
      </c>
      <c r="B360" s="2">
        <v>2011</v>
      </c>
      <c r="C360" s="1" t="s">
        <v>77</v>
      </c>
      <c r="D360" s="1" t="s">
        <v>78</v>
      </c>
      <c r="E360" s="1" t="s">
        <v>26</v>
      </c>
      <c r="F360" s="1" t="s">
        <v>27</v>
      </c>
      <c r="G360" s="9">
        <v>41053571</v>
      </c>
      <c r="H360" s="1">
        <v>91</v>
      </c>
      <c r="I360" s="1">
        <v>71</v>
      </c>
      <c r="J360" s="5">
        <v>51.8</v>
      </c>
      <c r="K360" s="1" t="s">
        <v>20</v>
      </c>
      <c r="L360" s="1" t="s">
        <v>19</v>
      </c>
      <c r="M360" s="10">
        <f t="shared" si="45"/>
        <v>792539.98069498071</v>
      </c>
      <c r="N360" s="10">
        <f t="shared" si="46"/>
        <v>451138.14285714284</v>
      </c>
      <c r="O360" s="1">
        <f t="shared" si="47"/>
        <v>29</v>
      </c>
      <c r="P360" s="1">
        <f t="shared" si="48"/>
        <v>7</v>
      </c>
      <c r="Q360" s="1">
        <f t="shared" si="49"/>
        <v>22</v>
      </c>
      <c r="R360" s="6">
        <f t="shared" si="50"/>
        <v>0.56172839506172845</v>
      </c>
      <c r="S360" s="8">
        <f t="shared" si="51"/>
        <v>73.483484209003578</v>
      </c>
      <c r="T360" s="8">
        <f t="shared" si="52"/>
        <v>17.516515790996422</v>
      </c>
      <c r="U360" t="str">
        <f t="shared" si="53"/>
        <v>Low</v>
      </c>
    </row>
    <row r="361" spans="1:21">
      <c r="A361" s="1">
        <v>298</v>
      </c>
      <c r="B361" s="2">
        <v>2011</v>
      </c>
      <c r="C361" s="1" t="s">
        <v>47</v>
      </c>
      <c r="D361" s="1" t="s">
        <v>48</v>
      </c>
      <c r="E361" s="1" t="s">
        <v>26</v>
      </c>
      <c r="F361" s="1" t="s">
        <v>35</v>
      </c>
      <c r="G361" s="9">
        <v>36126000</v>
      </c>
      <c r="H361" s="1">
        <v>71</v>
      </c>
      <c r="I361" s="1">
        <v>91</v>
      </c>
      <c r="J361" s="5">
        <v>15.1</v>
      </c>
      <c r="K361" s="1" t="s">
        <v>19</v>
      </c>
      <c r="L361" s="1" t="s">
        <v>19</v>
      </c>
      <c r="M361" s="10">
        <f t="shared" si="45"/>
        <v>2392450.331125828</v>
      </c>
      <c r="N361" s="10">
        <f t="shared" si="46"/>
        <v>508816.90140845068</v>
      </c>
      <c r="O361" s="1">
        <f t="shared" si="47"/>
        <v>30</v>
      </c>
      <c r="P361" s="1">
        <f t="shared" si="48"/>
        <v>24</v>
      </c>
      <c r="Q361" s="1">
        <f t="shared" si="49"/>
        <v>6</v>
      </c>
      <c r="R361" s="6">
        <f t="shared" si="50"/>
        <v>0.43827160493827161</v>
      </c>
      <c r="S361" s="8">
        <f t="shared" si="51"/>
        <v>73.053282301392542</v>
      </c>
      <c r="T361" s="8">
        <f t="shared" si="52"/>
        <v>-2.0532823013925423</v>
      </c>
      <c r="U361" t="str">
        <f t="shared" si="53"/>
        <v>Low</v>
      </c>
    </row>
    <row r="362" spans="1:21">
      <c r="A362" s="1">
        <v>481</v>
      </c>
      <c r="B362" s="2">
        <v>2012</v>
      </c>
      <c r="C362" s="1" t="s">
        <v>61</v>
      </c>
      <c r="D362" s="1" t="s">
        <v>62</v>
      </c>
      <c r="E362" s="1" t="s">
        <v>26</v>
      </c>
      <c r="F362" s="1" t="s">
        <v>27</v>
      </c>
      <c r="G362" s="9">
        <v>197962289</v>
      </c>
      <c r="H362" s="1">
        <v>95</v>
      </c>
      <c r="I362" s="1">
        <v>67</v>
      </c>
      <c r="J362" s="5">
        <v>52.2</v>
      </c>
      <c r="K362" s="1" t="s">
        <v>20</v>
      </c>
      <c r="L362" s="1" t="s">
        <v>19</v>
      </c>
      <c r="M362" s="10">
        <f t="shared" si="45"/>
        <v>3792381.0153256701</v>
      </c>
      <c r="N362" s="10">
        <f t="shared" si="46"/>
        <v>2083813.5684210525</v>
      </c>
      <c r="O362" s="1">
        <f t="shared" si="47"/>
        <v>1</v>
      </c>
      <c r="P362" s="1">
        <f t="shared" si="48"/>
        <v>3</v>
      </c>
      <c r="Q362" s="1">
        <f t="shared" si="49"/>
        <v>-2</v>
      </c>
      <c r="R362" s="6">
        <f t="shared" si="50"/>
        <v>0.5864197530864198</v>
      </c>
      <c r="S362" s="8">
        <f t="shared" si="51"/>
        <v>87.182410070123012</v>
      </c>
      <c r="T362" s="8">
        <f t="shared" si="52"/>
        <v>7.8175899298769878</v>
      </c>
      <c r="U362" t="str">
        <f t="shared" si="53"/>
        <v>High</v>
      </c>
    </row>
    <row r="363" spans="1:21">
      <c r="A363" s="1">
        <v>533</v>
      </c>
      <c r="B363" s="2">
        <v>2012</v>
      </c>
      <c r="C363" s="1" t="s">
        <v>65</v>
      </c>
      <c r="D363" s="1" t="s">
        <v>66</v>
      </c>
      <c r="E363" s="1" t="s">
        <v>17</v>
      </c>
      <c r="F363" s="1" t="s">
        <v>23</v>
      </c>
      <c r="G363" s="9">
        <v>174538938</v>
      </c>
      <c r="H363" s="1">
        <v>81</v>
      </c>
      <c r="I363" s="1">
        <v>81</v>
      </c>
      <c r="J363" s="5">
        <v>31.3</v>
      </c>
      <c r="K363" s="1" t="s">
        <v>19</v>
      </c>
      <c r="L363" s="1" t="s">
        <v>19</v>
      </c>
      <c r="M363" s="10">
        <f t="shared" si="45"/>
        <v>5576323.8977635782</v>
      </c>
      <c r="N363" s="10">
        <f t="shared" si="46"/>
        <v>2154801.7037037038</v>
      </c>
      <c r="O363" s="1">
        <f t="shared" si="47"/>
        <v>2</v>
      </c>
      <c r="P363" s="1">
        <f t="shared" si="48"/>
        <v>16</v>
      </c>
      <c r="Q363" s="1">
        <f t="shared" si="49"/>
        <v>-14</v>
      </c>
      <c r="R363" s="6">
        <f t="shared" si="50"/>
        <v>0.5</v>
      </c>
      <c r="S363" s="8">
        <f t="shared" si="51"/>
        <v>85.137432883017453</v>
      </c>
      <c r="T363" s="8">
        <f t="shared" si="52"/>
        <v>-4.1374328830174534</v>
      </c>
      <c r="U363" t="str">
        <f t="shared" si="53"/>
        <v>High</v>
      </c>
    </row>
    <row r="364" spans="1:21">
      <c r="A364" s="1">
        <v>91</v>
      </c>
      <c r="B364" s="2">
        <v>2012</v>
      </c>
      <c r="C364" s="1" t="s">
        <v>28</v>
      </c>
      <c r="D364" s="1" t="s">
        <v>29</v>
      </c>
      <c r="E364" s="1" t="s">
        <v>26</v>
      </c>
      <c r="F364" s="1" t="s">
        <v>27</v>
      </c>
      <c r="G364" s="9">
        <v>173186617</v>
      </c>
      <c r="H364" s="1">
        <v>69</v>
      </c>
      <c r="I364" s="1">
        <v>93</v>
      </c>
      <c r="J364" s="5">
        <v>26.4</v>
      </c>
      <c r="K364" s="1" t="s">
        <v>19</v>
      </c>
      <c r="L364" s="1" t="s">
        <v>19</v>
      </c>
      <c r="M364" s="10">
        <f t="shared" si="45"/>
        <v>6560099.1287878789</v>
      </c>
      <c r="N364" s="10">
        <f t="shared" si="46"/>
        <v>2509950.9710144927</v>
      </c>
      <c r="O364" s="1">
        <f t="shared" si="47"/>
        <v>3</v>
      </c>
      <c r="P364" s="1">
        <f t="shared" si="48"/>
        <v>24</v>
      </c>
      <c r="Q364" s="1">
        <f t="shared" si="49"/>
        <v>-21</v>
      </c>
      <c r="R364" s="6">
        <f t="shared" si="50"/>
        <v>0.42592592592592593</v>
      </c>
      <c r="S364" s="8">
        <f t="shared" si="51"/>
        <v>85.019368409892166</v>
      </c>
      <c r="T364" s="8">
        <f t="shared" si="52"/>
        <v>-16.019368409892166</v>
      </c>
      <c r="U364" t="str">
        <f t="shared" si="53"/>
        <v>High</v>
      </c>
    </row>
    <row r="365" spans="1:21">
      <c r="A365" s="1">
        <v>325</v>
      </c>
      <c r="B365" s="2">
        <v>2012</v>
      </c>
      <c r="C365" s="1" t="s">
        <v>49</v>
      </c>
      <c r="D365" s="1" t="s">
        <v>50</v>
      </c>
      <c r="E365" s="1" t="s">
        <v>26</v>
      </c>
      <c r="F365" s="1" t="s">
        <v>46</v>
      </c>
      <c r="G365" s="9">
        <v>154485166</v>
      </c>
      <c r="H365" s="1">
        <v>89</v>
      </c>
      <c r="I365" s="1">
        <v>73</v>
      </c>
      <c r="J365" s="5">
        <v>47.6</v>
      </c>
      <c r="K365" s="1" t="s">
        <v>19</v>
      </c>
      <c r="L365" s="1" t="s">
        <v>19</v>
      </c>
      <c r="M365" s="10">
        <f t="shared" si="45"/>
        <v>3245486.6806722688</v>
      </c>
      <c r="N365" s="10">
        <f t="shared" si="46"/>
        <v>1735788.3820224719</v>
      </c>
      <c r="O365" s="1">
        <f t="shared" si="47"/>
        <v>4</v>
      </c>
      <c r="P365" s="1">
        <f t="shared" si="48"/>
        <v>10</v>
      </c>
      <c r="Q365" s="1">
        <f t="shared" si="49"/>
        <v>-6</v>
      </c>
      <c r="R365" s="6">
        <f t="shared" si="50"/>
        <v>0.54938271604938271</v>
      </c>
      <c r="S365" s="8">
        <f t="shared" si="51"/>
        <v>83.386637010325458</v>
      </c>
      <c r="T365" s="8">
        <f t="shared" si="52"/>
        <v>5.6133629896745418</v>
      </c>
      <c r="U365" t="str">
        <f t="shared" si="53"/>
        <v>High</v>
      </c>
    </row>
    <row r="366" spans="1:21">
      <c r="A366" s="1">
        <v>247</v>
      </c>
      <c r="B366" s="2">
        <v>2012</v>
      </c>
      <c r="C366" s="1" t="s">
        <v>42</v>
      </c>
      <c r="D366" s="1" t="s">
        <v>43</v>
      </c>
      <c r="E366" s="1" t="s">
        <v>26</v>
      </c>
      <c r="F366" s="1" t="s">
        <v>35</v>
      </c>
      <c r="G366" s="9">
        <v>132300000</v>
      </c>
      <c r="H366" s="1">
        <v>88</v>
      </c>
      <c r="I366" s="1">
        <v>74</v>
      </c>
      <c r="J366" s="5">
        <v>44.9</v>
      </c>
      <c r="K366" s="1" t="s">
        <v>20</v>
      </c>
      <c r="L366" s="1" t="s">
        <v>19</v>
      </c>
      <c r="M366" s="10">
        <f t="shared" si="45"/>
        <v>2946547.8841870823</v>
      </c>
      <c r="N366" s="10">
        <f t="shared" si="46"/>
        <v>1503409.0909090908</v>
      </c>
      <c r="O366" s="1">
        <f t="shared" si="47"/>
        <v>5</v>
      </c>
      <c r="P366" s="1">
        <f t="shared" si="48"/>
        <v>11</v>
      </c>
      <c r="Q366" s="1">
        <f t="shared" si="49"/>
        <v>-6</v>
      </c>
      <c r="R366" s="6">
        <f t="shared" si="50"/>
        <v>0.54320987654320985</v>
      </c>
      <c r="S366" s="8">
        <f t="shared" si="51"/>
        <v>81.449759645419405</v>
      </c>
      <c r="T366" s="8">
        <f t="shared" si="52"/>
        <v>6.5502403545805947</v>
      </c>
      <c r="U366" t="str">
        <f t="shared" si="53"/>
        <v>Mid</v>
      </c>
    </row>
    <row r="367" spans="1:21">
      <c r="A367" s="1">
        <v>715</v>
      </c>
      <c r="B367" s="2">
        <v>2012</v>
      </c>
      <c r="C367" s="1" t="s">
        <v>79</v>
      </c>
      <c r="D367" s="1" t="s">
        <v>80</v>
      </c>
      <c r="E367" s="1" t="s">
        <v>26</v>
      </c>
      <c r="F367" s="1" t="s">
        <v>46</v>
      </c>
      <c r="G367" s="9">
        <v>120510974</v>
      </c>
      <c r="H367" s="1">
        <v>93</v>
      </c>
      <c r="I367" s="1">
        <v>69</v>
      </c>
      <c r="J367" s="5">
        <v>48.1</v>
      </c>
      <c r="K367" s="1" t="s">
        <v>20</v>
      </c>
      <c r="L367" s="1" t="s">
        <v>19</v>
      </c>
      <c r="M367" s="10">
        <f t="shared" si="45"/>
        <v>2505425.6548856548</v>
      </c>
      <c r="N367" s="10">
        <f t="shared" si="46"/>
        <v>1295816.9247311829</v>
      </c>
      <c r="O367" s="1">
        <f t="shared" si="47"/>
        <v>6</v>
      </c>
      <c r="P367" s="1">
        <f t="shared" si="48"/>
        <v>7</v>
      </c>
      <c r="Q367" s="1">
        <f t="shared" si="49"/>
        <v>-1</v>
      </c>
      <c r="R367" s="6">
        <f t="shared" si="50"/>
        <v>0.57407407407407407</v>
      </c>
      <c r="S367" s="8">
        <f t="shared" si="51"/>
        <v>80.420517961418071</v>
      </c>
      <c r="T367" s="8">
        <f t="shared" si="52"/>
        <v>12.579482038581929</v>
      </c>
      <c r="U367" t="str">
        <f t="shared" si="53"/>
        <v>Mid</v>
      </c>
    </row>
    <row r="368" spans="1:21">
      <c r="A368" s="1">
        <v>611</v>
      </c>
      <c r="B368" s="2">
        <v>2012</v>
      </c>
      <c r="C368" s="1" t="s">
        <v>71</v>
      </c>
      <c r="D368" s="1" t="s">
        <v>72</v>
      </c>
      <c r="E368" s="1" t="s">
        <v>17</v>
      </c>
      <c r="F368" s="1" t="s">
        <v>18</v>
      </c>
      <c r="G368" s="9">
        <v>117620683</v>
      </c>
      <c r="H368" s="1">
        <v>94</v>
      </c>
      <c r="I368" s="1">
        <v>68</v>
      </c>
      <c r="J368" s="5">
        <v>48.7</v>
      </c>
      <c r="K368" s="1" t="s">
        <v>20</v>
      </c>
      <c r="L368" s="1" t="s">
        <v>20</v>
      </c>
      <c r="M368" s="10">
        <f t="shared" si="45"/>
        <v>2415209.0965092401</v>
      </c>
      <c r="N368" s="10">
        <f t="shared" si="46"/>
        <v>1251283.8617021276</v>
      </c>
      <c r="O368" s="1">
        <f t="shared" si="47"/>
        <v>7</v>
      </c>
      <c r="P368" s="1">
        <f t="shared" si="48"/>
        <v>4</v>
      </c>
      <c r="Q368" s="1">
        <f t="shared" si="49"/>
        <v>3</v>
      </c>
      <c r="R368" s="6">
        <f t="shared" si="50"/>
        <v>0.58024691358024694</v>
      </c>
      <c r="S368" s="8">
        <f t="shared" si="51"/>
        <v>80.168180917111457</v>
      </c>
      <c r="T368" s="8">
        <f t="shared" si="52"/>
        <v>13.831819082888543</v>
      </c>
      <c r="U368" t="str">
        <f t="shared" si="53"/>
        <v>Mid</v>
      </c>
    </row>
    <row r="369" spans="1:21">
      <c r="A369" s="1">
        <v>663</v>
      </c>
      <c r="B369" s="2">
        <v>2012</v>
      </c>
      <c r="C369" s="1" t="s">
        <v>75</v>
      </c>
      <c r="D369" s="1" t="s">
        <v>76</v>
      </c>
      <c r="E369" s="1" t="s">
        <v>17</v>
      </c>
      <c r="F369" s="1" t="s">
        <v>32</v>
      </c>
      <c r="G369" s="9">
        <v>110300862</v>
      </c>
      <c r="H369" s="1">
        <v>88</v>
      </c>
      <c r="I369" s="1">
        <v>74</v>
      </c>
      <c r="J369" s="5">
        <v>45.6</v>
      </c>
      <c r="K369" s="1" t="s">
        <v>20</v>
      </c>
      <c r="L369" s="1" t="s">
        <v>19</v>
      </c>
      <c r="M369" s="10">
        <f t="shared" si="45"/>
        <v>2418878.5526315789</v>
      </c>
      <c r="N369" s="10">
        <f t="shared" si="46"/>
        <v>1253418.8863636365</v>
      </c>
      <c r="O369" s="1">
        <f t="shared" si="47"/>
        <v>8</v>
      </c>
      <c r="P369" s="1">
        <f t="shared" si="48"/>
        <v>11</v>
      </c>
      <c r="Q369" s="1">
        <f t="shared" si="49"/>
        <v>-3</v>
      </c>
      <c r="R369" s="6">
        <f t="shared" si="50"/>
        <v>0.54320987654320985</v>
      </c>
      <c r="S369" s="8">
        <f t="shared" si="51"/>
        <v>79.529123467189109</v>
      </c>
      <c r="T369" s="8">
        <f t="shared" si="52"/>
        <v>8.470876532810891</v>
      </c>
      <c r="U369" t="str">
        <f t="shared" si="53"/>
        <v>Mid</v>
      </c>
    </row>
    <row r="370" spans="1:21">
      <c r="A370" s="1">
        <v>377</v>
      </c>
      <c r="B370" s="2">
        <v>2012</v>
      </c>
      <c r="C370" s="1" t="s">
        <v>53</v>
      </c>
      <c r="D370" s="1" t="s">
        <v>54</v>
      </c>
      <c r="E370" s="1" t="s">
        <v>17</v>
      </c>
      <c r="F370" s="1" t="s">
        <v>23</v>
      </c>
      <c r="G370" s="9">
        <v>103078000</v>
      </c>
      <c r="H370" s="1">
        <v>69</v>
      </c>
      <c r="I370" s="1">
        <v>93</v>
      </c>
      <c r="J370" s="5">
        <v>29.1</v>
      </c>
      <c r="K370" s="1" t="s">
        <v>19</v>
      </c>
      <c r="L370" s="1" t="s">
        <v>19</v>
      </c>
      <c r="M370" s="10">
        <f t="shared" si="45"/>
        <v>3542199.3127147765</v>
      </c>
      <c r="N370" s="10">
        <f t="shared" si="46"/>
        <v>1493884.0579710144</v>
      </c>
      <c r="O370" s="1">
        <f t="shared" si="47"/>
        <v>9</v>
      </c>
      <c r="P370" s="1">
        <f t="shared" si="48"/>
        <v>24</v>
      </c>
      <c r="Q370" s="1">
        <f t="shared" si="49"/>
        <v>-15</v>
      </c>
      <c r="R370" s="6">
        <f t="shared" si="50"/>
        <v>0.42592592592592593</v>
      </c>
      <c r="S370" s="8">
        <f t="shared" si="51"/>
        <v>78.898531029086996</v>
      </c>
      <c r="T370" s="8">
        <f t="shared" si="52"/>
        <v>-9.8985310290869961</v>
      </c>
      <c r="U370" t="str">
        <f t="shared" si="53"/>
        <v>Mid</v>
      </c>
    </row>
    <row r="371" spans="1:21">
      <c r="A371" s="1">
        <v>403</v>
      </c>
      <c r="B371" s="2">
        <v>2012</v>
      </c>
      <c r="C371" s="1" t="s">
        <v>55</v>
      </c>
      <c r="D371" s="1" t="s">
        <v>56</v>
      </c>
      <c r="E371" s="1" t="s">
        <v>17</v>
      </c>
      <c r="F371" s="1" t="s">
        <v>32</v>
      </c>
      <c r="G371" s="9">
        <v>97653944</v>
      </c>
      <c r="H371" s="1">
        <v>83</v>
      </c>
      <c r="I371" s="1">
        <v>79</v>
      </c>
      <c r="J371" s="5">
        <v>37.799999999999997</v>
      </c>
      <c r="K371" s="1" t="s">
        <v>19</v>
      </c>
      <c r="L371" s="1" t="s">
        <v>19</v>
      </c>
      <c r="M371" s="10">
        <f t="shared" si="45"/>
        <v>2583437.6719576721</v>
      </c>
      <c r="N371" s="10">
        <f t="shared" si="46"/>
        <v>1176553.5421686748</v>
      </c>
      <c r="O371" s="1">
        <f t="shared" si="47"/>
        <v>10</v>
      </c>
      <c r="P371" s="1">
        <f t="shared" si="48"/>
        <v>15</v>
      </c>
      <c r="Q371" s="1">
        <f t="shared" si="49"/>
        <v>-5</v>
      </c>
      <c r="R371" s="6">
        <f t="shared" si="50"/>
        <v>0.51234567901234573</v>
      </c>
      <c r="S371" s="8">
        <f t="shared" si="51"/>
        <v>78.424983466162161</v>
      </c>
      <c r="T371" s="8">
        <f t="shared" si="52"/>
        <v>4.5750165338378395</v>
      </c>
      <c r="U371" t="str">
        <f t="shared" si="53"/>
        <v>Mid</v>
      </c>
    </row>
    <row r="372" spans="1:21">
      <c r="A372" s="1">
        <v>143</v>
      </c>
      <c r="B372" s="2">
        <v>2012</v>
      </c>
      <c r="C372" s="1" t="s">
        <v>33</v>
      </c>
      <c r="D372" s="1" t="s">
        <v>34</v>
      </c>
      <c r="E372" s="1" t="s">
        <v>26</v>
      </c>
      <c r="F372" s="1" t="s">
        <v>35</v>
      </c>
      <c r="G372" s="9">
        <v>96919500</v>
      </c>
      <c r="H372" s="1">
        <v>85</v>
      </c>
      <c r="I372" s="1">
        <v>77</v>
      </c>
      <c r="J372" s="5">
        <v>41.7</v>
      </c>
      <c r="K372" s="1" t="s">
        <v>19</v>
      </c>
      <c r="L372" s="1" t="s">
        <v>19</v>
      </c>
      <c r="M372" s="10">
        <f t="shared" si="45"/>
        <v>2324208.6330935252</v>
      </c>
      <c r="N372" s="10">
        <f t="shared" si="46"/>
        <v>1140229.4117647058</v>
      </c>
      <c r="O372" s="1">
        <f t="shared" si="47"/>
        <v>11</v>
      </c>
      <c r="P372" s="1">
        <f t="shared" si="48"/>
        <v>14</v>
      </c>
      <c r="Q372" s="1">
        <f t="shared" si="49"/>
        <v>-3</v>
      </c>
      <c r="R372" s="6">
        <f t="shared" si="50"/>
        <v>0.52469135802469136</v>
      </c>
      <c r="S372" s="8">
        <f t="shared" si="51"/>
        <v>78.36086278482982</v>
      </c>
      <c r="T372" s="8">
        <f t="shared" si="52"/>
        <v>6.6391372151701802</v>
      </c>
      <c r="U372" t="str">
        <f t="shared" si="53"/>
        <v>Mid</v>
      </c>
    </row>
    <row r="373" spans="1:21">
      <c r="A373" s="1">
        <v>351</v>
      </c>
      <c r="B373" s="2">
        <v>2012</v>
      </c>
      <c r="C373" s="1" t="s">
        <v>51</v>
      </c>
      <c r="D373" s="1" t="s">
        <v>52</v>
      </c>
      <c r="E373" s="1" t="s">
        <v>17</v>
      </c>
      <c r="F373" s="1" t="s">
        <v>18</v>
      </c>
      <c r="G373" s="9">
        <v>95143575</v>
      </c>
      <c r="H373" s="1">
        <v>86</v>
      </c>
      <c r="I373" s="1">
        <v>76</v>
      </c>
      <c r="J373" s="5">
        <v>38.6</v>
      </c>
      <c r="K373" s="1" t="s">
        <v>19</v>
      </c>
      <c r="L373" s="1" t="s">
        <v>19</v>
      </c>
      <c r="M373" s="10">
        <f t="shared" si="45"/>
        <v>2464859.4559585489</v>
      </c>
      <c r="N373" s="10">
        <f t="shared" si="46"/>
        <v>1106320.6395348837</v>
      </c>
      <c r="O373" s="1">
        <f t="shared" si="47"/>
        <v>12</v>
      </c>
      <c r="P373" s="1">
        <f t="shared" si="48"/>
        <v>13</v>
      </c>
      <c r="Q373" s="1">
        <f t="shared" si="49"/>
        <v>-1</v>
      </c>
      <c r="R373" s="6">
        <f t="shared" si="50"/>
        <v>0.53086419753086422</v>
      </c>
      <c r="S373" s="8">
        <f t="shared" si="51"/>
        <v>78.20581553685021</v>
      </c>
      <c r="T373" s="8">
        <f t="shared" si="52"/>
        <v>7.7941844631497901</v>
      </c>
      <c r="U373" t="str">
        <f t="shared" si="53"/>
        <v>Mid</v>
      </c>
    </row>
    <row r="374" spans="1:21">
      <c r="A374" s="1">
        <v>429</v>
      </c>
      <c r="B374" s="2">
        <v>2012</v>
      </c>
      <c r="C374" s="1" t="s">
        <v>57</v>
      </c>
      <c r="D374" s="1" t="s">
        <v>58</v>
      </c>
      <c r="E374" s="1" t="s">
        <v>26</v>
      </c>
      <c r="F374" s="1" t="s">
        <v>35</v>
      </c>
      <c r="G374" s="9">
        <v>94085000</v>
      </c>
      <c r="H374" s="1">
        <v>66</v>
      </c>
      <c r="I374" s="1">
        <v>96</v>
      </c>
      <c r="J374" s="5">
        <v>15.7</v>
      </c>
      <c r="K374" s="1" t="s">
        <v>19</v>
      </c>
      <c r="L374" s="1" t="s">
        <v>19</v>
      </c>
      <c r="M374" s="10">
        <f t="shared" si="45"/>
        <v>5992675.1592356693</v>
      </c>
      <c r="N374" s="10">
        <f t="shared" si="46"/>
        <v>1425530.303030303</v>
      </c>
      <c r="O374" s="1">
        <f t="shared" si="47"/>
        <v>13</v>
      </c>
      <c r="P374" s="1">
        <f t="shared" si="48"/>
        <v>27</v>
      </c>
      <c r="Q374" s="1">
        <f t="shared" si="49"/>
        <v>-14</v>
      </c>
      <c r="R374" s="6">
        <f t="shared" si="50"/>
        <v>0.40740740740740738</v>
      </c>
      <c r="S374" s="8">
        <f t="shared" si="51"/>
        <v>78.113396577417802</v>
      </c>
      <c r="T374" s="8">
        <f t="shared" si="52"/>
        <v>-12.113396577417802</v>
      </c>
      <c r="U374" t="str">
        <f t="shared" si="53"/>
        <v>Mid</v>
      </c>
    </row>
    <row r="375" spans="1:21">
      <c r="A375" s="1">
        <v>455</v>
      </c>
      <c r="B375" s="2">
        <v>2012</v>
      </c>
      <c r="C375" s="1" t="s">
        <v>59</v>
      </c>
      <c r="D375" s="1" t="s">
        <v>60</v>
      </c>
      <c r="E375" s="1" t="s">
        <v>17</v>
      </c>
      <c r="F375" s="1" t="s">
        <v>23</v>
      </c>
      <c r="G375" s="9">
        <v>93353983</v>
      </c>
      <c r="H375" s="1">
        <v>74</v>
      </c>
      <c r="I375" s="1">
        <v>88</v>
      </c>
      <c r="J375" s="5">
        <v>33.4</v>
      </c>
      <c r="K375" s="1" t="s">
        <v>19</v>
      </c>
      <c r="L375" s="1" t="s">
        <v>19</v>
      </c>
      <c r="M375" s="10">
        <f t="shared" si="45"/>
        <v>2795029.4311377248</v>
      </c>
      <c r="N375" s="10">
        <f t="shared" si="46"/>
        <v>1261540.3108108109</v>
      </c>
      <c r="O375" s="1">
        <f t="shared" si="47"/>
        <v>14</v>
      </c>
      <c r="P375" s="1">
        <f t="shared" si="48"/>
        <v>21</v>
      </c>
      <c r="Q375" s="1">
        <f t="shared" si="49"/>
        <v>-7</v>
      </c>
      <c r="R375" s="6">
        <f t="shared" si="50"/>
        <v>0.4567901234567901</v>
      </c>
      <c r="S375" s="8">
        <f t="shared" si="51"/>
        <v>78.049575090544025</v>
      </c>
      <c r="T375" s="8">
        <f t="shared" si="52"/>
        <v>-4.0495750905440246</v>
      </c>
      <c r="U375" t="str">
        <f t="shared" si="53"/>
        <v>Mid</v>
      </c>
    </row>
    <row r="376" spans="1:21">
      <c r="A376" s="1">
        <v>117</v>
      </c>
      <c r="B376" s="2">
        <v>2012</v>
      </c>
      <c r="C376" s="1" t="s">
        <v>30</v>
      </c>
      <c r="D376" s="1" t="s">
        <v>31</v>
      </c>
      <c r="E376" s="1" t="s">
        <v>17</v>
      </c>
      <c r="F376" s="1" t="s">
        <v>32</v>
      </c>
      <c r="G376" s="9">
        <v>88197033</v>
      </c>
      <c r="H376" s="1">
        <v>61</v>
      </c>
      <c r="I376" s="1">
        <v>101</v>
      </c>
      <c r="J376" s="5">
        <v>19.100000000000001</v>
      </c>
      <c r="K376" s="1" t="s">
        <v>19</v>
      </c>
      <c r="L376" s="1" t="s">
        <v>19</v>
      </c>
      <c r="M376" s="10">
        <f t="shared" si="45"/>
        <v>4617645.7068062825</v>
      </c>
      <c r="N376" s="10">
        <f t="shared" si="46"/>
        <v>1445853</v>
      </c>
      <c r="O376" s="1">
        <f t="shared" si="47"/>
        <v>15</v>
      </c>
      <c r="P376" s="1">
        <f t="shared" si="48"/>
        <v>29</v>
      </c>
      <c r="Q376" s="1">
        <f t="shared" si="49"/>
        <v>-14</v>
      </c>
      <c r="R376" s="6">
        <f t="shared" si="50"/>
        <v>0.37654320987654322</v>
      </c>
      <c r="S376" s="8">
        <f t="shared" si="51"/>
        <v>77.599347234374164</v>
      </c>
      <c r="T376" s="8">
        <f t="shared" si="52"/>
        <v>-16.599347234374164</v>
      </c>
      <c r="U376" t="str">
        <f t="shared" si="53"/>
        <v>Mid</v>
      </c>
    </row>
    <row r="377" spans="1:21">
      <c r="A377" s="1">
        <v>39</v>
      </c>
      <c r="B377" s="2">
        <v>2012</v>
      </c>
      <c r="C377" s="1" t="s">
        <v>21</v>
      </c>
      <c r="D377" s="1" t="s">
        <v>22</v>
      </c>
      <c r="E377" s="1" t="s">
        <v>17</v>
      </c>
      <c r="F377" s="1" t="s">
        <v>23</v>
      </c>
      <c r="G377" s="9">
        <v>83309942</v>
      </c>
      <c r="H377" s="1">
        <v>94</v>
      </c>
      <c r="I377" s="1">
        <v>68</v>
      </c>
      <c r="J377" s="5">
        <v>44.2</v>
      </c>
      <c r="K377" s="1" t="s">
        <v>20</v>
      </c>
      <c r="L377" s="1" t="s">
        <v>19</v>
      </c>
      <c r="M377" s="10">
        <f t="shared" si="45"/>
        <v>1884840.3167420814</v>
      </c>
      <c r="N377" s="10">
        <f t="shared" si="46"/>
        <v>886275.97872340423</v>
      </c>
      <c r="O377" s="1">
        <f t="shared" si="47"/>
        <v>16</v>
      </c>
      <c r="P377" s="1">
        <f t="shared" si="48"/>
        <v>4</v>
      </c>
      <c r="Q377" s="1">
        <f t="shared" si="49"/>
        <v>12</v>
      </c>
      <c r="R377" s="6">
        <f t="shared" si="50"/>
        <v>0.58024691358024694</v>
      </c>
      <c r="S377" s="8">
        <f t="shared" si="51"/>
        <v>77.1726794358039</v>
      </c>
      <c r="T377" s="8">
        <f t="shared" si="52"/>
        <v>16.8273205641961</v>
      </c>
      <c r="U377" t="str">
        <f t="shared" si="53"/>
        <v>Mid</v>
      </c>
    </row>
    <row r="378" spans="1:21">
      <c r="A378" s="1">
        <v>169</v>
      </c>
      <c r="B378" s="2">
        <v>2012</v>
      </c>
      <c r="C378" s="1" t="s">
        <v>36</v>
      </c>
      <c r="D378" s="1" t="s">
        <v>37</v>
      </c>
      <c r="E378" s="1" t="s">
        <v>17</v>
      </c>
      <c r="F378" s="1" t="s">
        <v>32</v>
      </c>
      <c r="G378" s="9">
        <v>82203616</v>
      </c>
      <c r="H378" s="1">
        <v>97</v>
      </c>
      <c r="I378" s="1">
        <v>65</v>
      </c>
      <c r="J378" s="5">
        <v>48.2</v>
      </c>
      <c r="K378" s="1" t="s">
        <v>20</v>
      </c>
      <c r="L378" s="1" t="s">
        <v>19</v>
      </c>
      <c r="M378" s="10">
        <f t="shared" si="45"/>
        <v>1705469.2116182572</v>
      </c>
      <c r="N378" s="10">
        <f t="shared" si="46"/>
        <v>847459.95876288658</v>
      </c>
      <c r="O378" s="1">
        <f t="shared" si="47"/>
        <v>17</v>
      </c>
      <c r="P378" s="1">
        <f t="shared" si="48"/>
        <v>2</v>
      </c>
      <c r="Q378" s="1">
        <f t="shared" si="49"/>
        <v>15</v>
      </c>
      <c r="R378" s="6">
        <f t="shared" si="50"/>
        <v>0.59876543209876543</v>
      </c>
      <c r="S378" s="8">
        <f t="shared" si="51"/>
        <v>77.076091572201378</v>
      </c>
      <c r="T378" s="8">
        <f t="shared" si="52"/>
        <v>19.923908427798622</v>
      </c>
      <c r="U378" t="str">
        <f t="shared" si="53"/>
        <v>Mid</v>
      </c>
    </row>
    <row r="379" spans="1:21">
      <c r="A379" s="1">
        <v>637</v>
      </c>
      <c r="B379" s="2">
        <v>2012</v>
      </c>
      <c r="C379" s="1" t="s">
        <v>73</v>
      </c>
      <c r="D379" s="1" t="s">
        <v>74</v>
      </c>
      <c r="E379" s="1" t="s">
        <v>26</v>
      </c>
      <c r="F379" s="1" t="s">
        <v>46</v>
      </c>
      <c r="G379" s="9">
        <v>81978100</v>
      </c>
      <c r="H379" s="1">
        <v>75</v>
      </c>
      <c r="I379" s="1">
        <v>87</v>
      </c>
      <c r="J379" s="5">
        <v>33.9</v>
      </c>
      <c r="K379" s="1" t="s">
        <v>19</v>
      </c>
      <c r="L379" s="1" t="s">
        <v>19</v>
      </c>
      <c r="M379" s="10">
        <f t="shared" si="45"/>
        <v>2418233.0383480829</v>
      </c>
      <c r="N379" s="10">
        <f t="shared" si="46"/>
        <v>1093041.3333333333</v>
      </c>
      <c r="O379" s="1">
        <f t="shared" si="47"/>
        <v>18</v>
      </c>
      <c r="P379" s="1">
        <f t="shared" si="48"/>
        <v>20</v>
      </c>
      <c r="Q379" s="1">
        <f t="shared" si="49"/>
        <v>-2</v>
      </c>
      <c r="R379" s="6">
        <f t="shared" si="50"/>
        <v>0.46296296296296297</v>
      </c>
      <c r="S379" s="8">
        <f t="shared" si="51"/>
        <v>77.05640288310957</v>
      </c>
      <c r="T379" s="8">
        <f t="shared" si="52"/>
        <v>-2.0564028831095698</v>
      </c>
      <c r="U379" t="str">
        <f t="shared" si="53"/>
        <v>Mid</v>
      </c>
    </row>
    <row r="380" spans="1:21">
      <c r="A380" s="1">
        <v>65</v>
      </c>
      <c r="B380" s="2">
        <v>2012</v>
      </c>
      <c r="C380" s="1" t="s">
        <v>24</v>
      </c>
      <c r="D380" s="1" t="s">
        <v>25</v>
      </c>
      <c r="E380" s="1" t="s">
        <v>26</v>
      </c>
      <c r="F380" s="1" t="s">
        <v>27</v>
      </c>
      <c r="G380" s="9">
        <v>81428999</v>
      </c>
      <c r="H380" s="1">
        <v>93</v>
      </c>
      <c r="I380" s="1">
        <v>69</v>
      </c>
      <c r="J380" s="5">
        <v>34.200000000000003</v>
      </c>
      <c r="K380" s="1" t="s">
        <v>20</v>
      </c>
      <c r="L380" s="1" t="s">
        <v>19</v>
      </c>
      <c r="M380" s="10">
        <f t="shared" si="45"/>
        <v>2380964.8830409353</v>
      </c>
      <c r="N380" s="10">
        <f t="shared" si="46"/>
        <v>875580.63440860214</v>
      </c>
      <c r="O380" s="1">
        <f t="shared" si="47"/>
        <v>19</v>
      </c>
      <c r="P380" s="1">
        <f t="shared" si="48"/>
        <v>7</v>
      </c>
      <c r="Q380" s="1">
        <f t="shared" si="49"/>
        <v>12</v>
      </c>
      <c r="R380" s="6">
        <f t="shared" si="50"/>
        <v>0.57407407407407407</v>
      </c>
      <c r="S380" s="8">
        <f t="shared" si="51"/>
        <v>77.008463584483309</v>
      </c>
      <c r="T380" s="8">
        <f t="shared" si="52"/>
        <v>15.991536415516691</v>
      </c>
      <c r="U380" t="str">
        <f t="shared" si="53"/>
        <v>Mid</v>
      </c>
    </row>
    <row r="381" spans="1:21">
      <c r="A381" s="1">
        <v>767</v>
      </c>
      <c r="B381" s="2">
        <v>2012</v>
      </c>
      <c r="C381" s="1" t="s">
        <v>83</v>
      </c>
      <c r="D381" s="1" t="s">
        <v>84</v>
      </c>
      <c r="E381" s="1" t="s">
        <v>17</v>
      </c>
      <c r="F381" s="1" t="s">
        <v>23</v>
      </c>
      <c r="G381" s="9">
        <v>81336143</v>
      </c>
      <c r="H381" s="1">
        <v>98</v>
      </c>
      <c r="I381" s="1">
        <v>64</v>
      </c>
      <c r="J381" s="5">
        <v>51.8</v>
      </c>
      <c r="K381" s="1" t="s">
        <v>20</v>
      </c>
      <c r="L381" s="1" t="s">
        <v>19</v>
      </c>
      <c r="M381" s="10">
        <f t="shared" si="45"/>
        <v>1570195.8108108109</v>
      </c>
      <c r="N381" s="10">
        <f t="shared" si="46"/>
        <v>829960.64285714284</v>
      </c>
      <c r="O381" s="1">
        <f t="shared" si="47"/>
        <v>20</v>
      </c>
      <c r="P381" s="1">
        <f t="shared" si="48"/>
        <v>1</v>
      </c>
      <c r="Q381" s="1">
        <f t="shared" si="49"/>
        <v>19</v>
      </c>
      <c r="R381" s="6">
        <f t="shared" si="50"/>
        <v>0.60493827160493829</v>
      </c>
      <c r="S381" s="8">
        <f t="shared" si="51"/>
        <v>77.00035678534573</v>
      </c>
      <c r="T381" s="8">
        <f t="shared" si="52"/>
        <v>20.99964321465427</v>
      </c>
      <c r="U381" t="str">
        <f t="shared" si="53"/>
        <v>Mid</v>
      </c>
    </row>
    <row r="382" spans="1:21">
      <c r="A382" s="1">
        <v>195</v>
      </c>
      <c r="B382" s="2">
        <v>2012</v>
      </c>
      <c r="C382" s="1" t="s">
        <v>38</v>
      </c>
      <c r="D382" s="1" t="s">
        <v>39</v>
      </c>
      <c r="E382" s="1" t="s">
        <v>26</v>
      </c>
      <c r="F382" s="1" t="s">
        <v>35</v>
      </c>
      <c r="G382" s="9">
        <v>78430300</v>
      </c>
      <c r="H382" s="1">
        <v>68</v>
      </c>
      <c r="I382" s="1">
        <v>94</v>
      </c>
      <c r="J382" s="5">
        <v>21.5</v>
      </c>
      <c r="K382" s="1" t="s">
        <v>19</v>
      </c>
      <c r="L382" s="1" t="s">
        <v>19</v>
      </c>
      <c r="M382" s="10">
        <f t="shared" si="45"/>
        <v>3647920.9302325579</v>
      </c>
      <c r="N382" s="10">
        <f t="shared" si="46"/>
        <v>1153386.7647058824</v>
      </c>
      <c r="O382" s="1">
        <f t="shared" si="47"/>
        <v>21</v>
      </c>
      <c r="P382" s="1">
        <f t="shared" si="48"/>
        <v>26</v>
      </c>
      <c r="Q382" s="1">
        <f t="shared" si="49"/>
        <v>-5</v>
      </c>
      <c r="R382" s="6">
        <f t="shared" si="50"/>
        <v>0.41975308641975306</v>
      </c>
      <c r="S382" s="8">
        <f t="shared" si="51"/>
        <v>76.746661972664569</v>
      </c>
      <c r="T382" s="8">
        <f t="shared" si="52"/>
        <v>-8.7466619726645689</v>
      </c>
      <c r="U382" t="str">
        <f t="shared" si="53"/>
        <v>Low</v>
      </c>
    </row>
    <row r="383" spans="1:21">
      <c r="A383" s="1">
        <v>221</v>
      </c>
      <c r="B383" s="2">
        <v>2012</v>
      </c>
      <c r="C383" s="1" t="s">
        <v>40</v>
      </c>
      <c r="D383" s="1" t="s">
        <v>41</v>
      </c>
      <c r="E383" s="1" t="s">
        <v>17</v>
      </c>
      <c r="F383" s="1" t="s">
        <v>18</v>
      </c>
      <c r="G383" s="9">
        <v>78069571</v>
      </c>
      <c r="H383" s="1">
        <v>64</v>
      </c>
      <c r="I383" s="1">
        <v>98</v>
      </c>
      <c r="J383" s="5">
        <v>16.5</v>
      </c>
      <c r="K383" s="1" t="s">
        <v>19</v>
      </c>
      <c r="L383" s="1" t="s">
        <v>19</v>
      </c>
      <c r="M383" s="10">
        <f t="shared" si="45"/>
        <v>4731489.1515151514</v>
      </c>
      <c r="N383" s="10">
        <f t="shared" si="46"/>
        <v>1219837.046875</v>
      </c>
      <c r="O383" s="1">
        <f t="shared" si="47"/>
        <v>22</v>
      </c>
      <c r="P383" s="1">
        <f t="shared" si="48"/>
        <v>28</v>
      </c>
      <c r="Q383" s="1">
        <f t="shared" si="49"/>
        <v>-6</v>
      </c>
      <c r="R383" s="6">
        <f t="shared" si="50"/>
        <v>0.39506172839506171</v>
      </c>
      <c r="S383" s="8">
        <f t="shared" si="51"/>
        <v>76.71516850378697</v>
      </c>
      <c r="T383" s="8">
        <f t="shared" si="52"/>
        <v>-12.71516850378697</v>
      </c>
      <c r="U383" t="str">
        <f t="shared" si="53"/>
        <v>Low</v>
      </c>
    </row>
    <row r="384" spans="1:21">
      <c r="A384" s="1">
        <v>741</v>
      </c>
      <c r="B384" s="2">
        <v>2012</v>
      </c>
      <c r="C384" s="1" t="s">
        <v>81</v>
      </c>
      <c r="D384" s="1" t="s">
        <v>82</v>
      </c>
      <c r="E384" s="1" t="s">
        <v>26</v>
      </c>
      <c r="F384" s="1" t="s">
        <v>27</v>
      </c>
      <c r="G384" s="9">
        <v>75489200</v>
      </c>
      <c r="H384" s="1">
        <v>73</v>
      </c>
      <c r="I384" s="1">
        <v>89</v>
      </c>
      <c r="J384" s="5">
        <v>25.2</v>
      </c>
      <c r="K384" s="1" t="s">
        <v>19</v>
      </c>
      <c r="L384" s="1" t="s">
        <v>19</v>
      </c>
      <c r="M384" s="10">
        <f t="shared" si="45"/>
        <v>2995603.1746031749</v>
      </c>
      <c r="N384" s="10">
        <f t="shared" si="46"/>
        <v>1034098.6301369863</v>
      </c>
      <c r="O384" s="1">
        <f t="shared" si="47"/>
        <v>23</v>
      </c>
      <c r="P384" s="1">
        <f t="shared" si="48"/>
        <v>22</v>
      </c>
      <c r="Q384" s="1">
        <f t="shared" si="49"/>
        <v>1</v>
      </c>
      <c r="R384" s="6">
        <f t="shared" si="50"/>
        <v>0.45061728395061729</v>
      </c>
      <c r="S384" s="8">
        <f t="shared" si="51"/>
        <v>76.489889045298355</v>
      </c>
      <c r="T384" s="8">
        <f t="shared" si="52"/>
        <v>-3.4898890452983551</v>
      </c>
      <c r="U384" t="str">
        <f t="shared" si="53"/>
        <v>Low</v>
      </c>
    </row>
    <row r="385" spans="1:21">
      <c r="A385" s="1">
        <v>13</v>
      </c>
      <c r="B385" s="2">
        <v>2012</v>
      </c>
      <c r="C385" s="1" t="s">
        <v>15</v>
      </c>
      <c r="D385" s="1" t="s">
        <v>16</v>
      </c>
      <c r="E385" s="1" t="s">
        <v>17</v>
      </c>
      <c r="F385" s="1" t="s">
        <v>18</v>
      </c>
      <c r="G385" s="9">
        <v>74284833</v>
      </c>
      <c r="H385" s="1">
        <v>81</v>
      </c>
      <c r="I385" s="1">
        <v>81</v>
      </c>
      <c r="J385" s="5">
        <v>36.9</v>
      </c>
      <c r="K385" s="1" t="s">
        <v>19</v>
      </c>
      <c r="L385" s="1" t="s">
        <v>19</v>
      </c>
      <c r="M385" s="10">
        <f t="shared" si="45"/>
        <v>2013139.1056910569</v>
      </c>
      <c r="N385" s="10">
        <f t="shared" si="46"/>
        <v>917096.70370370371</v>
      </c>
      <c r="O385" s="1">
        <f t="shared" si="47"/>
        <v>24</v>
      </c>
      <c r="P385" s="1">
        <f t="shared" si="48"/>
        <v>16</v>
      </c>
      <c r="Q385" s="1">
        <f t="shared" si="49"/>
        <v>8</v>
      </c>
      <c r="R385" s="6">
        <f t="shared" si="50"/>
        <v>0.5</v>
      </c>
      <c r="S385" s="8">
        <f t="shared" si="51"/>
        <v>76.384741705795022</v>
      </c>
      <c r="T385" s="8">
        <f t="shared" si="52"/>
        <v>4.6152582942049776</v>
      </c>
      <c r="U385" t="str">
        <f t="shared" si="53"/>
        <v>Low</v>
      </c>
    </row>
    <row r="386" spans="1:21">
      <c r="A386" s="1">
        <v>689</v>
      </c>
      <c r="B386" s="2">
        <v>2012</v>
      </c>
      <c r="C386" s="1" t="s">
        <v>77</v>
      </c>
      <c r="D386" s="1" t="s">
        <v>78</v>
      </c>
      <c r="E386" s="1" t="s">
        <v>26</v>
      </c>
      <c r="F386" s="1" t="s">
        <v>27</v>
      </c>
      <c r="G386" s="9">
        <v>64173500</v>
      </c>
      <c r="H386" s="1">
        <v>90</v>
      </c>
      <c r="I386" s="1">
        <v>72</v>
      </c>
      <c r="J386" s="5">
        <v>55.6</v>
      </c>
      <c r="K386" s="1" t="s">
        <v>19</v>
      </c>
      <c r="L386" s="1" t="s">
        <v>19</v>
      </c>
      <c r="M386" s="10">
        <f t="shared" ref="M386:M449" si="54">G386/J386</f>
        <v>1154199.6402877697</v>
      </c>
      <c r="N386" s="10">
        <f t="shared" ref="N386:N449" si="55">G386/H386</f>
        <v>713038.88888888888</v>
      </c>
      <c r="O386" s="1">
        <f t="shared" si="47"/>
        <v>25</v>
      </c>
      <c r="P386" s="1">
        <f t="shared" si="48"/>
        <v>9</v>
      </c>
      <c r="Q386" s="1">
        <f t="shared" si="49"/>
        <v>16</v>
      </c>
      <c r="R386" s="6">
        <f t="shared" si="50"/>
        <v>0.55555555555555558</v>
      </c>
      <c r="S386" s="8">
        <f t="shared" si="51"/>
        <v>75.501971118605027</v>
      </c>
      <c r="T386" s="8">
        <f t="shared" si="52"/>
        <v>14.498028881394973</v>
      </c>
      <c r="U386" t="str">
        <f t="shared" si="53"/>
        <v>Low</v>
      </c>
    </row>
    <row r="387" spans="1:21">
      <c r="A387" s="1">
        <v>559</v>
      </c>
      <c r="B387" s="2">
        <v>2012</v>
      </c>
      <c r="C387" s="1" t="s">
        <v>67</v>
      </c>
      <c r="D387" s="1" t="s">
        <v>68</v>
      </c>
      <c r="E387" s="1" t="s">
        <v>17</v>
      </c>
      <c r="F387" s="1" t="s">
        <v>32</v>
      </c>
      <c r="G387" s="9">
        <v>63431999</v>
      </c>
      <c r="H387" s="1">
        <v>79</v>
      </c>
      <c r="I387" s="1">
        <v>83</v>
      </c>
      <c r="J387" s="5">
        <v>28.4</v>
      </c>
      <c r="K387" s="1" t="s">
        <v>19</v>
      </c>
      <c r="L387" s="1" t="s">
        <v>19</v>
      </c>
      <c r="M387" s="10">
        <f t="shared" si="54"/>
        <v>2233521.0915492959</v>
      </c>
      <c r="N387" s="10">
        <f t="shared" si="55"/>
        <v>802936.69620253169</v>
      </c>
      <c r="O387" s="1">
        <f t="shared" ref="O387:O450" si="56">COUNTIFS($B$2:$B$1000, B387, $G$2:$G$1000, "&gt;"&amp;G387) + 1</f>
        <v>26</v>
      </c>
      <c r="P387" s="1">
        <f t="shared" ref="P387:P450" si="57">COUNTIFS($B$2:$B$1000, B387, $H$2:$H$1000, "&gt;"&amp;H387) + 1</f>
        <v>18</v>
      </c>
      <c r="Q387" s="1">
        <f t="shared" ref="Q387:Q450" si="58">O387-P387</f>
        <v>8</v>
      </c>
      <c r="R387" s="6">
        <f t="shared" ref="R387:R450" si="59">H387/(H387+I387)</f>
        <v>0.48765432098765432</v>
      </c>
      <c r="S387" s="8">
        <f t="shared" ref="S387:S450" si="60">_xlfn.FORECAST.LINEAR(G387, $H$2:$H$781, $G$2:$G$781)</f>
        <v>75.437234325427312</v>
      </c>
      <c r="T387" s="8">
        <f t="shared" ref="T387:T450" si="61">H387-S387</f>
        <v>3.5627656745726881</v>
      </c>
      <c r="U387" t="str">
        <f t="shared" ref="U387:U450" si="62">IF(G387&lt;80000000,"Low",
 IF(G387&lt;150000000,"Mid","High"))</f>
        <v>Low</v>
      </c>
    </row>
    <row r="388" spans="1:21">
      <c r="A388" s="1">
        <v>299</v>
      </c>
      <c r="B388" s="2">
        <v>2012</v>
      </c>
      <c r="C388" s="1" t="s">
        <v>47</v>
      </c>
      <c r="D388" s="1" t="s">
        <v>48</v>
      </c>
      <c r="E388" s="1" t="s">
        <v>26</v>
      </c>
      <c r="F388" s="1" t="s">
        <v>35</v>
      </c>
      <c r="G388" s="9">
        <v>60916225</v>
      </c>
      <c r="H388" s="1">
        <v>72</v>
      </c>
      <c r="I388" s="1">
        <v>90</v>
      </c>
      <c r="J388" s="5">
        <v>26.1</v>
      </c>
      <c r="K388" s="1" t="s">
        <v>19</v>
      </c>
      <c r="L388" s="1" t="s">
        <v>19</v>
      </c>
      <c r="M388" s="10">
        <f t="shared" si="54"/>
        <v>2333954.9808429116</v>
      </c>
      <c r="N388" s="10">
        <f t="shared" si="55"/>
        <v>846058.6805555555</v>
      </c>
      <c r="O388" s="1">
        <f t="shared" si="56"/>
        <v>27</v>
      </c>
      <c r="P388" s="1">
        <f t="shared" si="57"/>
        <v>23</v>
      </c>
      <c r="Q388" s="1">
        <f t="shared" si="58"/>
        <v>4</v>
      </c>
      <c r="R388" s="6">
        <f t="shared" si="59"/>
        <v>0.44444444444444442</v>
      </c>
      <c r="S388" s="8">
        <f t="shared" si="60"/>
        <v>75.217594512237767</v>
      </c>
      <c r="T388" s="8">
        <f t="shared" si="61"/>
        <v>-3.2175945122377669</v>
      </c>
      <c r="U388" t="str">
        <f t="shared" si="62"/>
        <v>Low</v>
      </c>
    </row>
    <row r="389" spans="1:21">
      <c r="A389" s="1">
        <v>273</v>
      </c>
      <c r="B389" s="2">
        <v>2012</v>
      </c>
      <c r="C389" s="1" t="s">
        <v>44</v>
      </c>
      <c r="D389" s="1" t="s">
        <v>45</v>
      </c>
      <c r="E389" s="1" t="s">
        <v>26</v>
      </c>
      <c r="F389" s="1" t="s">
        <v>46</v>
      </c>
      <c r="G389" s="9">
        <v>60651000</v>
      </c>
      <c r="H389" s="1">
        <v>55</v>
      </c>
      <c r="I389" s="1">
        <v>107</v>
      </c>
      <c r="J389" s="5">
        <v>14.2</v>
      </c>
      <c r="K389" s="1" t="s">
        <v>19</v>
      </c>
      <c r="L389" s="1" t="s">
        <v>19</v>
      </c>
      <c r="M389" s="10">
        <f t="shared" si="54"/>
        <v>4271197.1830985919</v>
      </c>
      <c r="N389" s="10">
        <f t="shared" si="55"/>
        <v>1102745.4545454546</v>
      </c>
      <c r="O389" s="1">
        <f t="shared" si="56"/>
        <v>28</v>
      </c>
      <c r="P389" s="1">
        <f t="shared" si="57"/>
        <v>30</v>
      </c>
      <c r="Q389" s="1">
        <f t="shared" si="58"/>
        <v>-2</v>
      </c>
      <c r="R389" s="6">
        <f t="shared" si="59"/>
        <v>0.33950617283950618</v>
      </c>
      <c r="S389" s="8">
        <f t="shared" si="60"/>
        <v>75.194439026310491</v>
      </c>
      <c r="T389" s="8">
        <f t="shared" si="61"/>
        <v>-20.194439026310491</v>
      </c>
      <c r="U389" t="str">
        <f t="shared" si="62"/>
        <v>Low</v>
      </c>
    </row>
    <row r="390" spans="1:21">
      <c r="A390" s="1">
        <v>507</v>
      </c>
      <c r="B390" s="2">
        <v>2012</v>
      </c>
      <c r="C390" s="1" t="s">
        <v>63</v>
      </c>
      <c r="D390" s="1" t="s">
        <v>64</v>
      </c>
      <c r="E390" s="1" t="s">
        <v>26</v>
      </c>
      <c r="F390" s="1" t="s">
        <v>46</v>
      </c>
      <c r="G390" s="9">
        <v>55372500</v>
      </c>
      <c r="H390" s="1">
        <v>94</v>
      </c>
      <c r="I390" s="1">
        <v>68</v>
      </c>
      <c r="J390" s="5">
        <v>43.7</v>
      </c>
      <c r="K390" s="1" t="s">
        <v>20</v>
      </c>
      <c r="L390" s="1" t="s">
        <v>19</v>
      </c>
      <c r="M390" s="10">
        <f t="shared" si="54"/>
        <v>1267105.2631578946</v>
      </c>
      <c r="N390" s="10">
        <f t="shared" si="55"/>
        <v>589069.14893617027</v>
      </c>
      <c r="O390" s="1">
        <f t="shared" si="56"/>
        <v>29</v>
      </c>
      <c r="P390" s="1">
        <f t="shared" si="57"/>
        <v>4</v>
      </c>
      <c r="Q390" s="1">
        <f t="shared" si="58"/>
        <v>25</v>
      </c>
      <c r="R390" s="6">
        <f t="shared" si="59"/>
        <v>0.58024691358024694</v>
      </c>
      <c r="S390" s="8">
        <f t="shared" si="60"/>
        <v>74.733599239461171</v>
      </c>
      <c r="T390" s="8">
        <f t="shared" si="61"/>
        <v>19.266400760538829</v>
      </c>
      <c r="U390" t="str">
        <f t="shared" si="62"/>
        <v>Low</v>
      </c>
    </row>
    <row r="391" spans="1:21">
      <c r="A391" s="1">
        <v>585</v>
      </c>
      <c r="B391" s="2">
        <v>2012</v>
      </c>
      <c r="C391" s="1" t="s">
        <v>69</v>
      </c>
      <c r="D391" s="1" t="s">
        <v>70</v>
      </c>
      <c r="E391" s="1" t="s">
        <v>17</v>
      </c>
      <c r="F391" s="1" t="s">
        <v>18</v>
      </c>
      <c r="G391" s="9">
        <v>55244700</v>
      </c>
      <c r="H391" s="1">
        <v>76</v>
      </c>
      <c r="I391" s="1">
        <v>86</v>
      </c>
      <c r="J391" s="5">
        <v>29.7</v>
      </c>
      <c r="K391" s="1" t="s">
        <v>19</v>
      </c>
      <c r="L391" s="1" t="s">
        <v>19</v>
      </c>
      <c r="M391" s="10">
        <f t="shared" si="54"/>
        <v>1860090.9090909092</v>
      </c>
      <c r="N391" s="10">
        <f t="shared" si="55"/>
        <v>726903.94736842101</v>
      </c>
      <c r="O391" s="1">
        <f t="shared" si="56"/>
        <v>30</v>
      </c>
      <c r="P391" s="1">
        <f t="shared" si="57"/>
        <v>19</v>
      </c>
      <c r="Q391" s="1">
        <f t="shared" si="58"/>
        <v>11</v>
      </c>
      <c r="R391" s="6">
        <f t="shared" si="59"/>
        <v>0.46913580246913578</v>
      </c>
      <c r="S391" s="8">
        <f t="shared" si="60"/>
        <v>74.72244165212399</v>
      </c>
      <c r="T391" s="8">
        <f t="shared" si="61"/>
        <v>1.2775583478760097</v>
      </c>
      <c r="U391" t="str">
        <f t="shared" si="62"/>
        <v>Low</v>
      </c>
    </row>
    <row r="392" spans="1:21">
      <c r="A392" s="1">
        <v>482</v>
      </c>
      <c r="B392" s="2">
        <v>2013</v>
      </c>
      <c r="C392" s="1" t="s">
        <v>61</v>
      </c>
      <c r="D392" s="1" t="s">
        <v>62</v>
      </c>
      <c r="E392" s="1" t="s">
        <v>26</v>
      </c>
      <c r="F392" s="1" t="s">
        <v>27</v>
      </c>
      <c r="G392" s="9">
        <v>228995945</v>
      </c>
      <c r="H392" s="1">
        <v>85</v>
      </c>
      <c r="I392" s="1">
        <v>77</v>
      </c>
      <c r="J392" s="5">
        <v>35.200000000000003</v>
      </c>
      <c r="K392" s="1" t="s">
        <v>19</v>
      </c>
      <c r="L392" s="1" t="s">
        <v>19</v>
      </c>
      <c r="M392" s="10">
        <f t="shared" si="54"/>
        <v>6505566.6193181816</v>
      </c>
      <c r="N392" s="10">
        <f t="shared" si="55"/>
        <v>2694069.9411764704</v>
      </c>
      <c r="O392" s="1">
        <f t="shared" si="56"/>
        <v>1</v>
      </c>
      <c r="P392" s="1">
        <f t="shared" si="57"/>
        <v>14</v>
      </c>
      <c r="Q392" s="1">
        <f t="shared" si="58"/>
        <v>-13</v>
      </c>
      <c r="R392" s="6">
        <f t="shared" si="59"/>
        <v>0.52469135802469136</v>
      </c>
      <c r="S392" s="8">
        <f t="shared" si="60"/>
        <v>89.891805431720982</v>
      </c>
      <c r="T392" s="8">
        <f t="shared" si="61"/>
        <v>-4.8918054317209823</v>
      </c>
      <c r="U392" t="str">
        <f t="shared" si="62"/>
        <v>High</v>
      </c>
    </row>
    <row r="393" spans="1:21">
      <c r="A393" s="1">
        <v>352</v>
      </c>
      <c r="B393" s="2">
        <v>2013</v>
      </c>
      <c r="C393" s="1" t="s">
        <v>51</v>
      </c>
      <c r="D393" s="1" t="s">
        <v>52</v>
      </c>
      <c r="E393" s="1" t="s">
        <v>17</v>
      </c>
      <c r="F393" s="1" t="s">
        <v>18</v>
      </c>
      <c r="G393" s="9">
        <v>216302909</v>
      </c>
      <c r="H393" s="1">
        <v>92</v>
      </c>
      <c r="I393" s="1">
        <v>70</v>
      </c>
      <c r="J393" s="5">
        <v>48.7</v>
      </c>
      <c r="K393" s="1" t="s">
        <v>20</v>
      </c>
      <c r="L393" s="1" t="s">
        <v>19</v>
      </c>
      <c r="M393" s="10">
        <f t="shared" si="54"/>
        <v>4441538.1724845991</v>
      </c>
      <c r="N393" s="10">
        <f t="shared" si="55"/>
        <v>2351118.5760869565</v>
      </c>
      <c r="O393" s="1">
        <f t="shared" si="56"/>
        <v>2</v>
      </c>
      <c r="P393" s="1">
        <f t="shared" si="57"/>
        <v>7</v>
      </c>
      <c r="Q393" s="1">
        <f t="shared" si="58"/>
        <v>-5</v>
      </c>
      <c r="R393" s="6">
        <f t="shared" si="59"/>
        <v>0.5679012345679012</v>
      </c>
      <c r="S393" s="8">
        <f t="shared" si="60"/>
        <v>88.783639095695463</v>
      </c>
      <c r="T393" s="8">
        <f t="shared" si="61"/>
        <v>3.2163609043045369</v>
      </c>
      <c r="U393" t="str">
        <f t="shared" si="62"/>
        <v>High</v>
      </c>
    </row>
    <row r="394" spans="1:21">
      <c r="A394" s="1">
        <v>534</v>
      </c>
      <c r="B394" s="2">
        <v>2013</v>
      </c>
      <c r="C394" s="1" t="s">
        <v>65</v>
      </c>
      <c r="D394" s="1" t="s">
        <v>66</v>
      </c>
      <c r="E394" s="1" t="s">
        <v>17</v>
      </c>
      <c r="F394" s="1" t="s">
        <v>23</v>
      </c>
      <c r="G394" s="9">
        <v>159578214</v>
      </c>
      <c r="H394" s="1">
        <v>73</v>
      </c>
      <c r="I394" s="1">
        <v>89</v>
      </c>
      <c r="J394" s="5">
        <v>24.5</v>
      </c>
      <c r="K394" s="1" t="s">
        <v>19</v>
      </c>
      <c r="L394" s="1" t="s">
        <v>19</v>
      </c>
      <c r="M394" s="10">
        <f t="shared" si="54"/>
        <v>6513396.4897959186</v>
      </c>
      <c r="N394" s="10">
        <f t="shared" si="55"/>
        <v>2186002.9315068494</v>
      </c>
      <c r="O394" s="1">
        <f t="shared" si="56"/>
        <v>3</v>
      </c>
      <c r="P394" s="1">
        <f t="shared" si="57"/>
        <v>24</v>
      </c>
      <c r="Q394" s="1">
        <f t="shared" si="58"/>
        <v>-21</v>
      </c>
      <c r="R394" s="6">
        <f t="shared" si="59"/>
        <v>0.45061728395061729</v>
      </c>
      <c r="S394" s="8">
        <f t="shared" si="60"/>
        <v>83.831285898216592</v>
      </c>
      <c r="T394" s="8">
        <f t="shared" si="61"/>
        <v>-10.831285898216592</v>
      </c>
      <c r="U394" t="str">
        <f t="shared" si="62"/>
        <v>High</v>
      </c>
    </row>
    <row r="395" spans="1:21">
      <c r="A395" s="1">
        <v>92</v>
      </c>
      <c r="B395" s="2">
        <v>2013</v>
      </c>
      <c r="C395" s="1" t="s">
        <v>28</v>
      </c>
      <c r="D395" s="1" t="s">
        <v>29</v>
      </c>
      <c r="E395" s="1" t="s">
        <v>26</v>
      </c>
      <c r="F395" s="1" t="s">
        <v>27</v>
      </c>
      <c r="G395" s="9">
        <v>158967286</v>
      </c>
      <c r="H395" s="1">
        <v>97</v>
      </c>
      <c r="I395" s="1">
        <v>65</v>
      </c>
      <c r="J395" s="5">
        <v>55.3</v>
      </c>
      <c r="K395" s="1" t="s">
        <v>20</v>
      </c>
      <c r="L395" s="1" t="s">
        <v>20</v>
      </c>
      <c r="M395" s="10">
        <f t="shared" si="54"/>
        <v>2874634.4665461122</v>
      </c>
      <c r="N395" s="10">
        <f t="shared" si="55"/>
        <v>1638838</v>
      </c>
      <c r="O395" s="1">
        <f t="shared" si="56"/>
        <v>4</v>
      </c>
      <c r="P395" s="1">
        <f t="shared" si="57"/>
        <v>1</v>
      </c>
      <c r="Q395" s="1">
        <f t="shared" si="58"/>
        <v>3</v>
      </c>
      <c r="R395" s="6">
        <f t="shared" si="59"/>
        <v>0.59876543209876543</v>
      </c>
      <c r="S395" s="8">
        <f t="shared" si="60"/>
        <v>83.777948789321968</v>
      </c>
      <c r="T395" s="8">
        <f t="shared" si="61"/>
        <v>13.222051210678032</v>
      </c>
      <c r="U395" t="str">
        <f t="shared" si="62"/>
        <v>High</v>
      </c>
    </row>
    <row r="396" spans="1:21">
      <c r="A396" s="1">
        <v>248</v>
      </c>
      <c r="B396" s="2">
        <v>2013</v>
      </c>
      <c r="C396" s="1" t="s">
        <v>42</v>
      </c>
      <c r="D396" s="1" t="s">
        <v>43</v>
      </c>
      <c r="E396" s="1" t="s">
        <v>26</v>
      </c>
      <c r="F396" s="1" t="s">
        <v>35</v>
      </c>
      <c r="G396" s="9">
        <v>149046844</v>
      </c>
      <c r="H396" s="1">
        <v>93</v>
      </c>
      <c r="I396" s="1">
        <v>69</v>
      </c>
      <c r="J396" s="5">
        <v>48.1</v>
      </c>
      <c r="K396" s="1" t="s">
        <v>20</v>
      </c>
      <c r="L396" s="1" t="s">
        <v>19</v>
      </c>
      <c r="M396" s="10">
        <f t="shared" si="54"/>
        <v>3098686.9854469853</v>
      </c>
      <c r="N396" s="10">
        <f t="shared" si="55"/>
        <v>1602654.2365591398</v>
      </c>
      <c r="O396" s="1">
        <f t="shared" si="56"/>
        <v>5</v>
      </c>
      <c r="P396" s="1">
        <f t="shared" si="57"/>
        <v>6</v>
      </c>
      <c r="Q396" s="1">
        <f t="shared" si="58"/>
        <v>-1</v>
      </c>
      <c r="R396" s="6">
        <f t="shared" si="59"/>
        <v>0.57407407407407407</v>
      </c>
      <c r="S396" s="8">
        <f t="shared" si="60"/>
        <v>82.911843953339968</v>
      </c>
      <c r="T396" s="8">
        <f t="shared" si="61"/>
        <v>10.088156046660032</v>
      </c>
      <c r="U396" t="str">
        <f t="shared" si="62"/>
        <v>Mid</v>
      </c>
    </row>
    <row r="397" spans="1:21">
      <c r="A397" s="1">
        <v>612</v>
      </c>
      <c r="B397" s="2">
        <v>2013</v>
      </c>
      <c r="C397" s="1" t="s">
        <v>71</v>
      </c>
      <c r="D397" s="1" t="s">
        <v>72</v>
      </c>
      <c r="E397" s="1" t="s">
        <v>17</v>
      </c>
      <c r="F397" s="1" t="s">
        <v>18</v>
      </c>
      <c r="G397" s="9">
        <v>142180333</v>
      </c>
      <c r="H397" s="1">
        <v>76</v>
      </c>
      <c r="I397" s="1">
        <v>86</v>
      </c>
      <c r="J397" s="5">
        <v>31.3</v>
      </c>
      <c r="K397" s="1" t="s">
        <v>19</v>
      </c>
      <c r="L397" s="1" t="s">
        <v>19</v>
      </c>
      <c r="M397" s="10">
        <f t="shared" si="54"/>
        <v>4542502.6517571881</v>
      </c>
      <c r="N397" s="10">
        <f t="shared" si="55"/>
        <v>1870793.855263158</v>
      </c>
      <c r="O397" s="1">
        <f t="shared" si="56"/>
        <v>6</v>
      </c>
      <c r="P397" s="1">
        <f t="shared" si="57"/>
        <v>18</v>
      </c>
      <c r="Q397" s="1">
        <f t="shared" si="58"/>
        <v>-12</v>
      </c>
      <c r="R397" s="6">
        <f t="shared" si="59"/>
        <v>0.46913580246913578</v>
      </c>
      <c r="S397" s="8">
        <f t="shared" si="60"/>
        <v>82.312362762539834</v>
      </c>
      <c r="T397" s="8">
        <f t="shared" si="61"/>
        <v>-6.3123627625398342</v>
      </c>
      <c r="U397" t="str">
        <f t="shared" si="62"/>
        <v>Mid</v>
      </c>
    </row>
    <row r="398" spans="1:21">
      <c r="A398" s="1">
        <v>326</v>
      </c>
      <c r="B398" s="2">
        <v>2013</v>
      </c>
      <c r="C398" s="1" t="s">
        <v>49</v>
      </c>
      <c r="D398" s="1" t="s">
        <v>50</v>
      </c>
      <c r="E398" s="1" t="s">
        <v>26</v>
      </c>
      <c r="F398" s="1" t="s">
        <v>46</v>
      </c>
      <c r="G398" s="9">
        <v>142165250</v>
      </c>
      <c r="H398" s="1">
        <v>78</v>
      </c>
      <c r="I398" s="1">
        <v>84</v>
      </c>
      <c r="J398" s="5">
        <v>44.1</v>
      </c>
      <c r="K398" s="1" t="s">
        <v>19</v>
      </c>
      <c r="L398" s="1" t="s">
        <v>19</v>
      </c>
      <c r="M398" s="10">
        <f t="shared" si="54"/>
        <v>3223701.8140589567</v>
      </c>
      <c r="N398" s="10">
        <f t="shared" si="55"/>
        <v>1822631.4102564103</v>
      </c>
      <c r="O398" s="1">
        <f t="shared" si="56"/>
        <v>7</v>
      </c>
      <c r="P398" s="1">
        <f t="shared" si="57"/>
        <v>17</v>
      </c>
      <c r="Q398" s="1">
        <f t="shared" si="58"/>
        <v>-10</v>
      </c>
      <c r="R398" s="6">
        <f t="shared" si="59"/>
        <v>0.48148148148148145</v>
      </c>
      <c r="S398" s="8">
        <f t="shared" si="60"/>
        <v>82.311045940240888</v>
      </c>
      <c r="T398" s="8">
        <f t="shared" si="61"/>
        <v>-4.3110459402408878</v>
      </c>
      <c r="U398" t="str">
        <f t="shared" si="62"/>
        <v>Mid</v>
      </c>
    </row>
    <row r="399" spans="1:21">
      <c r="A399" s="1">
        <v>716</v>
      </c>
      <c r="B399" s="2">
        <v>2013</v>
      </c>
      <c r="C399" s="1" t="s">
        <v>79</v>
      </c>
      <c r="D399" s="1" t="s">
        <v>80</v>
      </c>
      <c r="E399" s="1" t="s">
        <v>26</v>
      </c>
      <c r="F399" s="1" t="s">
        <v>46</v>
      </c>
      <c r="G399" s="9">
        <v>127197575</v>
      </c>
      <c r="H399" s="1">
        <v>91</v>
      </c>
      <c r="I399" s="1">
        <v>72</v>
      </c>
      <c r="J399" s="5">
        <v>42.2</v>
      </c>
      <c r="K399" s="1" t="s">
        <v>19</v>
      </c>
      <c r="L399" s="1" t="s">
        <v>19</v>
      </c>
      <c r="M399" s="10">
        <f t="shared" si="54"/>
        <v>3014160.5450236965</v>
      </c>
      <c r="N399" s="10">
        <f t="shared" si="55"/>
        <v>1397775.5494505495</v>
      </c>
      <c r="O399" s="1">
        <f t="shared" si="56"/>
        <v>8</v>
      </c>
      <c r="P399" s="1">
        <f t="shared" si="57"/>
        <v>10</v>
      </c>
      <c r="Q399" s="1">
        <f t="shared" si="58"/>
        <v>-2</v>
      </c>
      <c r="R399" s="6">
        <f t="shared" si="59"/>
        <v>0.55828220858895705</v>
      </c>
      <c r="S399" s="8">
        <f t="shared" si="60"/>
        <v>81.004292097931554</v>
      </c>
      <c r="T399" s="8">
        <f t="shared" si="61"/>
        <v>9.9957079020684461</v>
      </c>
      <c r="U399" t="str">
        <f t="shared" si="62"/>
        <v>Mid</v>
      </c>
    </row>
    <row r="400" spans="1:21">
      <c r="A400" s="1">
        <v>144</v>
      </c>
      <c r="B400" s="2">
        <v>2013</v>
      </c>
      <c r="C400" s="1" t="s">
        <v>33</v>
      </c>
      <c r="D400" s="1" t="s">
        <v>34</v>
      </c>
      <c r="E400" s="1" t="s">
        <v>26</v>
      </c>
      <c r="F400" s="1" t="s">
        <v>35</v>
      </c>
      <c r="G400" s="9">
        <v>124065277</v>
      </c>
      <c r="H400" s="1">
        <v>63</v>
      </c>
      <c r="I400" s="1">
        <v>99</v>
      </c>
      <c r="J400" s="5">
        <v>21.5</v>
      </c>
      <c r="K400" s="1" t="s">
        <v>19</v>
      </c>
      <c r="L400" s="1" t="s">
        <v>19</v>
      </c>
      <c r="M400" s="10">
        <f t="shared" si="54"/>
        <v>5770478</v>
      </c>
      <c r="N400" s="10">
        <f t="shared" si="55"/>
        <v>1969290.111111111</v>
      </c>
      <c r="O400" s="1">
        <f t="shared" si="56"/>
        <v>9</v>
      </c>
      <c r="P400" s="1">
        <f t="shared" si="57"/>
        <v>28</v>
      </c>
      <c r="Q400" s="1">
        <f t="shared" si="58"/>
        <v>-19</v>
      </c>
      <c r="R400" s="6">
        <f t="shared" si="59"/>
        <v>0.3888888888888889</v>
      </c>
      <c r="S400" s="8">
        <f t="shared" si="60"/>
        <v>80.730826616702316</v>
      </c>
      <c r="T400" s="8">
        <f t="shared" si="61"/>
        <v>-17.730826616702316</v>
      </c>
      <c r="U400" t="str">
        <f t="shared" si="62"/>
        <v>Mid</v>
      </c>
    </row>
    <row r="401" spans="1:21">
      <c r="A401" s="1">
        <v>742</v>
      </c>
      <c r="B401" s="2">
        <v>2013</v>
      </c>
      <c r="C401" s="1" t="s">
        <v>81</v>
      </c>
      <c r="D401" s="1" t="s">
        <v>82</v>
      </c>
      <c r="E401" s="1" t="s">
        <v>26</v>
      </c>
      <c r="F401" s="1" t="s">
        <v>27</v>
      </c>
      <c r="G401" s="9">
        <v>118244039</v>
      </c>
      <c r="H401" s="1">
        <v>74</v>
      </c>
      <c r="I401" s="1">
        <v>88</v>
      </c>
      <c r="J401" s="5">
        <v>31.4</v>
      </c>
      <c r="K401" s="1" t="s">
        <v>19</v>
      </c>
      <c r="L401" s="1" t="s">
        <v>19</v>
      </c>
      <c r="M401" s="10">
        <f t="shared" si="54"/>
        <v>3765733.7261146498</v>
      </c>
      <c r="N401" s="10">
        <f t="shared" si="55"/>
        <v>1597892.4189189188</v>
      </c>
      <c r="O401" s="1">
        <f t="shared" si="56"/>
        <v>10</v>
      </c>
      <c r="P401" s="1">
        <f t="shared" si="57"/>
        <v>20</v>
      </c>
      <c r="Q401" s="1">
        <f t="shared" si="58"/>
        <v>-10</v>
      </c>
      <c r="R401" s="6">
        <f t="shared" si="59"/>
        <v>0.4567901234567901</v>
      </c>
      <c r="S401" s="8">
        <f t="shared" si="60"/>
        <v>80.222603053356835</v>
      </c>
      <c r="T401" s="8">
        <f t="shared" si="61"/>
        <v>-6.2226030533568348</v>
      </c>
      <c r="U401" t="str">
        <f t="shared" si="62"/>
        <v>Mid</v>
      </c>
    </row>
    <row r="402" spans="1:21">
      <c r="A402" s="1">
        <v>664</v>
      </c>
      <c r="B402" s="2">
        <v>2013</v>
      </c>
      <c r="C402" s="1" t="s">
        <v>75</v>
      </c>
      <c r="D402" s="1" t="s">
        <v>76</v>
      </c>
      <c r="E402" s="1" t="s">
        <v>17</v>
      </c>
      <c r="F402" s="1" t="s">
        <v>32</v>
      </c>
      <c r="G402" s="9">
        <v>116702085</v>
      </c>
      <c r="H402" s="1">
        <v>97</v>
      </c>
      <c r="I402" s="1">
        <v>65</v>
      </c>
      <c r="J402" s="5">
        <v>52.2</v>
      </c>
      <c r="K402" s="1" t="s">
        <v>20</v>
      </c>
      <c r="L402" s="1" t="s">
        <v>19</v>
      </c>
      <c r="M402" s="10">
        <f t="shared" si="54"/>
        <v>2235672.1264367816</v>
      </c>
      <c r="N402" s="10">
        <f t="shared" si="55"/>
        <v>1203114.2783505155</v>
      </c>
      <c r="O402" s="1">
        <f t="shared" si="56"/>
        <v>11</v>
      </c>
      <c r="P402" s="1">
        <f t="shared" si="57"/>
        <v>1</v>
      </c>
      <c r="Q402" s="1">
        <f t="shared" si="58"/>
        <v>10</v>
      </c>
      <c r="R402" s="6">
        <f t="shared" si="59"/>
        <v>0.59876543209876543</v>
      </c>
      <c r="S402" s="8">
        <f t="shared" si="60"/>
        <v>80.08798265879561</v>
      </c>
      <c r="T402" s="8">
        <f t="shared" si="61"/>
        <v>16.91201734120439</v>
      </c>
      <c r="U402" t="str">
        <f t="shared" si="62"/>
        <v>Mid</v>
      </c>
    </row>
    <row r="403" spans="1:21">
      <c r="A403" s="1">
        <v>768</v>
      </c>
      <c r="B403" s="2">
        <v>2013</v>
      </c>
      <c r="C403" s="1" t="s">
        <v>83</v>
      </c>
      <c r="D403" s="1" t="s">
        <v>84</v>
      </c>
      <c r="E403" s="1" t="s">
        <v>17</v>
      </c>
      <c r="F403" s="1" t="s">
        <v>23</v>
      </c>
      <c r="G403" s="9">
        <v>112431770</v>
      </c>
      <c r="H403" s="1">
        <v>86</v>
      </c>
      <c r="I403" s="1">
        <v>76</v>
      </c>
      <c r="J403" s="5">
        <v>47.6</v>
      </c>
      <c r="K403" s="1" t="s">
        <v>19</v>
      </c>
      <c r="L403" s="1" t="s">
        <v>19</v>
      </c>
      <c r="M403" s="10">
        <f t="shared" si="54"/>
        <v>2362011.9747899161</v>
      </c>
      <c r="N403" s="10">
        <f t="shared" si="55"/>
        <v>1307346.1627906978</v>
      </c>
      <c r="O403" s="1">
        <f t="shared" si="56"/>
        <v>12</v>
      </c>
      <c r="P403" s="1">
        <f t="shared" si="57"/>
        <v>12</v>
      </c>
      <c r="Q403" s="1">
        <f t="shared" si="58"/>
        <v>0</v>
      </c>
      <c r="R403" s="6">
        <f t="shared" si="59"/>
        <v>0.53086419753086422</v>
      </c>
      <c r="S403" s="8">
        <f t="shared" si="60"/>
        <v>79.715162529141466</v>
      </c>
      <c r="T403" s="8">
        <f t="shared" si="61"/>
        <v>6.2848374708585339</v>
      </c>
      <c r="U403" t="str">
        <f t="shared" si="62"/>
        <v>Mid</v>
      </c>
    </row>
    <row r="404" spans="1:21">
      <c r="A404" s="1">
        <v>170</v>
      </c>
      <c r="B404" s="2">
        <v>2013</v>
      </c>
      <c r="C404" s="1" t="s">
        <v>36</v>
      </c>
      <c r="D404" s="1" t="s">
        <v>37</v>
      </c>
      <c r="E404" s="1" t="s">
        <v>17</v>
      </c>
      <c r="F404" s="1" t="s">
        <v>32</v>
      </c>
      <c r="G404" s="9">
        <v>110565728</v>
      </c>
      <c r="H404" s="1">
        <v>90</v>
      </c>
      <c r="I404" s="1">
        <v>72</v>
      </c>
      <c r="J404" s="5">
        <v>44.9</v>
      </c>
      <c r="K404" s="1" t="s">
        <v>20</v>
      </c>
      <c r="L404" s="1" t="s">
        <v>19</v>
      </c>
      <c r="M404" s="10">
        <f t="shared" si="54"/>
        <v>2462488.3741648109</v>
      </c>
      <c r="N404" s="10">
        <f t="shared" si="55"/>
        <v>1228508.0888888889</v>
      </c>
      <c r="O404" s="1">
        <f t="shared" si="56"/>
        <v>13</v>
      </c>
      <c r="P404" s="1">
        <f t="shared" si="57"/>
        <v>11</v>
      </c>
      <c r="Q404" s="1">
        <f t="shared" si="58"/>
        <v>2</v>
      </c>
      <c r="R404" s="6">
        <f t="shared" si="59"/>
        <v>0.55555555555555558</v>
      </c>
      <c r="S404" s="8">
        <f t="shared" si="60"/>
        <v>79.552247610597959</v>
      </c>
      <c r="T404" s="8">
        <f t="shared" si="61"/>
        <v>10.447752389402041</v>
      </c>
      <c r="U404" t="str">
        <f t="shared" si="62"/>
        <v>Mid</v>
      </c>
    </row>
    <row r="405" spans="1:21">
      <c r="A405" s="1">
        <v>118</v>
      </c>
      <c r="B405" s="2">
        <v>2013</v>
      </c>
      <c r="C405" s="1" t="s">
        <v>30</v>
      </c>
      <c r="D405" s="1" t="s">
        <v>31</v>
      </c>
      <c r="E405" s="1" t="s">
        <v>17</v>
      </c>
      <c r="F405" s="1" t="s">
        <v>32</v>
      </c>
      <c r="G405" s="9">
        <v>104150726</v>
      </c>
      <c r="H405" s="1">
        <v>66</v>
      </c>
      <c r="I405" s="1">
        <v>96</v>
      </c>
      <c r="J405" s="5">
        <v>25.2</v>
      </c>
      <c r="K405" s="1" t="s">
        <v>19</v>
      </c>
      <c r="L405" s="1" t="s">
        <v>19</v>
      </c>
      <c r="M405" s="10">
        <f t="shared" si="54"/>
        <v>4132965.3174603176</v>
      </c>
      <c r="N405" s="10">
        <f t="shared" si="55"/>
        <v>1578041.303030303</v>
      </c>
      <c r="O405" s="1">
        <f t="shared" si="56"/>
        <v>14</v>
      </c>
      <c r="P405" s="1">
        <f t="shared" si="57"/>
        <v>26</v>
      </c>
      <c r="Q405" s="1">
        <f t="shared" si="58"/>
        <v>-12</v>
      </c>
      <c r="R405" s="6">
        <f t="shared" si="59"/>
        <v>0.40740740740740738</v>
      </c>
      <c r="S405" s="8">
        <f t="shared" si="60"/>
        <v>78.992185442497572</v>
      </c>
      <c r="T405" s="8">
        <f t="shared" si="61"/>
        <v>-12.992185442497572</v>
      </c>
      <c r="U405" t="str">
        <f t="shared" si="62"/>
        <v>Mid</v>
      </c>
    </row>
    <row r="406" spans="1:21">
      <c r="A406" s="1">
        <v>66</v>
      </c>
      <c r="B406" s="2">
        <v>2013</v>
      </c>
      <c r="C406" s="1" t="s">
        <v>24</v>
      </c>
      <c r="D406" s="1" t="s">
        <v>25</v>
      </c>
      <c r="E406" s="1" t="s">
        <v>26</v>
      </c>
      <c r="F406" s="1" t="s">
        <v>27</v>
      </c>
      <c r="G406" s="9">
        <v>91793333</v>
      </c>
      <c r="H406" s="1">
        <v>85</v>
      </c>
      <c r="I406" s="1">
        <v>77</v>
      </c>
      <c r="J406" s="5">
        <v>38.9</v>
      </c>
      <c r="K406" s="1" t="s">
        <v>19</v>
      </c>
      <c r="L406" s="1" t="s">
        <v>19</v>
      </c>
      <c r="M406" s="10">
        <f t="shared" si="54"/>
        <v>2359725.7840616968</v>
      </c>
      <c r="N406" s="10">
        <f t="shared" si="55"/>
        <v>1079921.5647058825</v>
      </c>
      <c r="O406" s="1">
        <f t="shared" si="56"/>
        <v>15</v>
      </c>
      <c r="P406" s="1">
        <f t="shared" si="57"/>
        <v>14</v>
      </c>
      <c r="Q406" s="1">
        <f t="shared" si="58"/>
        <v>1</v>
      </c>
      <c r="R406" s="6">
        <f t="shared" si="59"/>
        <v>0.52469135802469136</v>
      </c>
      <c r="S406" s="8">
        <f t="shared" si="60"/>
        <v>77.913322440483142</v>
      </c>
      <c r="T406" s="8">
        <f t="shared" si="61"/>
        <v>7.0866775595168576</v>
      </c>
      <c r="U406" t="str">
        <f t="shared" si="62"/>
        <v>Mid</v>
      </c>
    </row>
    <row r="407" spans="1:21">
      <c r="A407" s="1">
        <v>404</v>
      </c>
      <c r="B407" s="2">
        <v>2013</v>
      </c>
      <c r="C407" s="1" t="s">
        <v>55</v>
      </c>
      <c r="D407" s="1" t="s">
        <v>56</v>
      </c>
      <c r="E407" s="1" t="s">
        <v>17</v>
      </c>
      <c r="F407" s="1" t="s">
        <v>32</v>
      </c>
      <c r="G407" s="9">
        <v>91003366</v>
      </c>
      <c r="H407" s="1">
        <v>74</v>
      </c>
      <c r="I407" s="1">
        <v>88</v>
      </c>
      <c r="J407" s="5">
        <v>29.1</v>
      </c>
      <c r="K407" s="1" t="s">
        <v>19</v>
      </c>
      <c r="L407" s="1" t="s">
        <v>19</v>
      </c>
      <c r="M407" s="10">
        <f t="shared" si="54"/>
        <v>3127263.4364261166</v>
      </c>
      <c r="N407" s="10">
        <f t="shared" si="55"/>
        <v>1229775.2162162163</v>
      </c>
      <c r="O407" s="1">
        <f t="shared" si="56"/>
        <v>16</v>
      </c>
      <c r="P407" s="1">
        <f t="shared" si="57"/>
        <v>20</v>
      </c>
      <c r="Q407" s="1">
        <f t="shared" si="58"/>
        <v>-4</v>
      </c>
      <c r="R407" s="6">
        <f t="shared" si="59"/>
        <v>0.4567901234567901</v>
      </c>
      <c r="S407" s="8">
        <f t="shared" si="60"/>
        <v>77.844354320013679</v>
      </c>
      <c r="T407" s="8">
        <f t="shared" si="61"/>
        <v>-3.8443543200136787</v>
      </c>
      <c r="U407" t="str">
        <f t="shared" si="62"/>
        <v>Mid</v>
      </c>
    </row>
    <row r="408" spans="1:21">
      <c r="A408" s="1">
        <v>14</v>
      </c>
      <c r="B408" s="2">
        <v>2013</v>
      </c>
      <c r="C408" s="1" t="s">
        <v>15</v>
      </c>
      <c r="D408" s="1" t="s">
        <v>16</v>
      </c>
      <c r="E408" s="1" t="s">
        <v>17</v>
      </c>
      <c r="F408" s="1" t="s">
        <v>18</v>
      </c>
      <c r="G408" s="9">
        <v>90158500</v>
      </c>
      <c r="H408" s="1">
        <v>81</v>
      </c>
      <c r="I408" s="1">
        <v>81</v>
      </c>
      <c r="J408" s="5">
        <v>41.2</v>
      </c>
      <c r="K408" s="1" t="s">
        <v>19</v>
      </c>
      <c r="L408" s="1" t="s">
        <v>19</v>
      </c>
      <c r="M408" s="10">
        <f t="shared" si="54"/>
        <v>2188313.1067961166</v>
      </c>
      <c r="N408" s="10">
        <f t="shared" si="55"/>
        <v>1113067.9012345679</v>
      </c>
      <c r="O408" s="1">
        <f t="shared" si="56"/>
        <v>17</v>
      </c>
      <c r="P408" s="1">
        <f t="shared" si="57"/>
        <v>16</v>
      </c>
      <c r="Q408" s="1">
        <f t="shared" si="58"/>
        <v>1</v>
      </c>
      <c r="R408" s="6">
        <f t="shared" si="59"/>
        <v>0.5</v>
      </c>
      <c r="S408" s="8">
        <f t="shared" si="60"/>
        <v>77.77059323876783</v>
      </c>
      <c r="T408" s="8">
        <f t="shared" si="61"/>
        <v>3.2294067612321697</v>
      </c>
      <c r="U408" t="str">
        <f t="shared" si="62"/>
        <v>Mid</v>
      </c>
    </row>
    <row r="409" spans="1:21">
      <c r="A409" s="1">
        <v>40</v>
      </c>
      <c r="B409" s="2">
        <v>2013</v>
      </c>
      <c r="C409" s="1" t="s">
        <v>21</v>
      </c>
      <c r="D409" s="1" t="s">
        <v>22</v>
      </c>
      <c r="E409" s="1" t="s">
        <v>17</v>
      </c>
      <c r="F409" s="1" t="s">
        <v>23</v>
      </c>
      <c r="G409" s="9">
        <v>89288193</v>
      </c>
      <c r="H409" s="1">
        <v>96</v>
      </c>
      <c r="I409" s="1">
        <v>66</v>
      </c>
      <c r="J409" s="5">
        <v>43.7</v>
      </c>
      <c r="K409" s="1" t="s">
        <v>20</v>
      </c>
      <c r="L409" s="1" t="s">
        <v>19</v>
      </c>
      <c r="M409" s="10">
        <f t="shared" si="54"/>
        <v>2043208.0778032036</v>
      </c>
      <c r="N409" s="10">
        <f t="shared" si="55"/>
        <v>930085.34375</v>
      </c>
      <c r="O409" s="1">
        <f t="shared" si="56"/>
        <v>18</v>
      </c>
      <c r="P409" s="1">
        <f t="shared" si="57"/>
        <v>3</v>
      </c>
      <c r="Q409" s="1">
        <f t="shared" si="58"/>
        <v>15</v>
      </c>
      <c r="R409" s="6">
        <f t="shared" si="59"/>
        <v>0.59259259259259256</v>
      </c>
      <c r="S409" s="8">
        <f t="shared" si="60"/>
        <v>77.694611029357304</v>
      </c>
      <c r="T409" s="8">
        <f t="shared" si="61"/>
        <v>18.305388970642696</v>
      </c>
      <c r="U409" t="str">
        <f t="shared" si="62"/>
        <v>Mid</v>
      </c>
    </row>
    <row r="410" spans="1:21">
      <c r="A410" s="1">
        <v>456</v>
      </c>
      <c r="B410" s="2">
        <v>2013</v>
      </c>
      <c r="C410" s="1" t="s">
        <v>59</v>
      </c>
      <c r="D410" s="1" t="s">
        <v>60</v>
      </c>
      <c r="E410" s="1" t="s">
        <v>17</v>
      </c>
      <c r="F410" s="1" t="s">
        <v>23</v>
      </c>
      <c r="G410" s="9">
        <v>88877033</v>
      </c>
      <c r="H410" s="1">
        <v>74</v>
      </c>
      <c r="I410" s="1">
        <v>88</v>
      </c>
      <c r="J410" s="5">
        <v>33.9</v>
      </c>
      <c r="K410" s="1" t="s">
        <v>19</v>
      </c>
      <c r="L410" s="1" t="s">
        <v>19</v>
      </c>
      <c r="M410" s="10">
        <f t="shared" si="54"/>
        <v>2621741.3864306784</v>
      </c>
      <c r="N410" s="10">
        <f t="shared" si="55"/>
        <v>1201040.9864864864</v>
      </c>
      <c r="O410" s="1">
        <f t="shared" si="56"/>
        <v>19</v>
      </c>
      <c r="P410" s="1">
        <f t="shared" si="57"/>
        <v>20</v>
      </c>
      <c r="Q410" s="1">
        <f t="shared" si="58"/>
        <v>-1</v>
      </c>
      <c r="R410" s="6">
        <f t="shared" si="59"/>
        <v>0.4567901234567901</v>
      </c>
      <c r="S410" s="8">
        <f t="shared" si="60"/>
        <v>77.658714678734782</v>
      </c>
      <c r="T410" s="8">
        <f t="shared" si="61"/>
        <v>-3.658714678734782</v>
      </c>
      <c r="U410" t="str">
        <f t="shared" si="62"/>
        <v>Mid</v>
      </c>
    </row>
    <row r="411" spans="1:21">
      <c r="A411" s="1">
        <v>638</v>
      </c>
      <c r="B411" s="2">
        <v>2013</v>
      </c>
      <c r="C411" s="1" t="s">
        <v>73</v>
      </c>
      <c r="D411" s="1" t="s">
        <v>74</v>
      </c>
      <c r="E411" s="1" t="s">
        <v>26</v>
      </c>
      <c r="F411" s="1" t="s">
        <v>46</v>
      </c>
      <c r="G411" s="9">
        <v>84295952</v>
      </c>
      <c r="H411" s="1">
        <v>71</v>
      </c>
      <c r="I411" s="1">
        <v>91</v>
      </c>
      <c r="J411" s="5">
        <v>28.4</v>
      </c>
      <c r="K411" s="1" t="s">
        <v>19</v>
      </c>
      <c r="L411" s="1" t="s">
        <v>19</v>
      </c>
      <c r="M411" s="10">
        <f t="shared" si="54"/>
        <v>2968167.323943662</v>
      </c>
      <c r="N411" s="10">
        <f t="shared" si="55"/>
        <v>1187266.9295774647</v>
      </c>
      <c r="O411" s="1">
        <f t="shared" si="56"/>
        <v>20</v>
      </c>
      <c r="P411" s="1">
        <f t="shared" si="57"/>
        <v>25</v>
      </c>
      <c r="Q411" s="1">
        <f t="shared" si="58"/>
        <v>-5</v>
      </c>
      <c r="R411" s="6">
        <f t="shared" si="59"/>
        <v>0.43827160493827161</v>
      </c>
      <c r="S411" s="8">
        <f t="shared" si="60"/>
        <v>77.258763103177444</v>
      </c>
      <c r="T411" s="8">
        <f t="shared" si="61"/>
        <v>-6.2587631031774436</v>
      </c>
      <c r="U411" t="str">
        <f t="shared" si="62"/>
        <v>Mid</v>
      </c>
    </row>
    <row r="412" spans="1:21">
      <c r="A412" s="1">
        <v>196</v>
      </c>
      <c r="B412" s="2">
        <v>2013</v>
      </c>
      <c r="C412" s="1" t="s">
        <v>38</v>
      </c>
      <c r="D412" s="1" t="s">
        <v>39</v>
      </c>
      <c r="E412" s="1" t="s">
        <v>26</v>
      </c>
      <c r="F412" s="1" t="s">
        <v>35</v>
      </c>
      <c r="G412" s="9">
        <v>82517300</v>
      </c>
      <c r="H412" s="1">
        <v>92</v>
      </c>
      <c r="I412" s="1">
        <v>70</v>
      </c>
      <c r="J412" s="5">
        <v>42.5</v>
      </c>
      <c r="K412" s="1" t="s">
        <v>20</v>
      </c>
      <c r="L412" s="1" t="s">
        <v>19</v>
      </c>
      <c r="M412" s="10">
        <f t="shared" si="54"/>
        <v>1941583.5294117648</v>
      </c>
      <c r="N412" s="10">
        <f t="shared" si="55"/>
        <v>896927.17391304346</v>
      </c>
      <c r="O412" s="1">
        <f t="shared" si="56"/>
        <v>21</v>
      </c>
      <c r="P412" s="1">
        <f t="shared" si="57"/>
        <v>7</v>
      </c>
      <c r="Q412" s="1">
        <f t="shared" si="58"/>
        <v>14</v>
      </c>
      <c r="R412" s="6">
        <f t="shared" si="59"/>
        <v>0.5679012345679012</v>
      </c>
      <c r="S412" s="8">
        <f t="shared" si="60"/>
        <v>77.10347777428494</v>
      </c>
      <c r="T412" s="8">
        <f t="shared" si="61"/>
        <v>14.89652222571506</v>
      </c>
      <c r="U412" t="str">
        <f t="shared" si="62"/>
        <v>Mid</v>
      </c>
    </row>
    <row r="413" spans="1:21">
      <c r="A413" s="1">
        <v>300</v>
      </c>
      <c r="B413" s="2">
        <v>2013</v>
      </c>
      <c r="C413" s="1" t="s">
        <v>47</v>
      </c>
      <c r="D413" s="1" t="s">
        <v>48</v>
      </c>
      <c r="E413" s="1" t="s">
        <v>26</v>
      </c>
      <c r="F413" s="1" t="s">
        <v>35</v>
      </c>
      <c r="G413" s="9">
        <v>80491725</v>
      </c>
      <c r="H413" s="1">
        <v>86</v>
      </c>
      <c r="I413" s="1">
        <v>76</v>
      </c>
      <c r="J413" s="5">
        <v>36.6</v>
      </c>
      <c r="K413" s="1" t="s">
        <v>19</v>
      </c>
      <c r="L413" s="1" t="s">
        <v>19</v>
      </c>
      <c r="M413" s="10">
        <f t="shared" si="54"/>
        <v>2199227.4590163934</v>
      </c>
      <c r="N413" s="10">
        <f t="shared" si="55"/>
        <v>935950.29069767438</v>
      </c>
      <c r="O413" s="1">
        <f t="shared" si="56"/>
        <v>22</v>
      </c>
      <c r="P413" s="1">
        <f t="shared" si="57"/>
        <v>12</v>
      </c>
      <c r="Q413" s="1">
        <f t="shared" si="58"/>
        <v>10</v>
      </c>
      <c r="R413" s="6">
        <f t="shared" si="59"/>
        <v>0.53086419753086422</v>
      </c>
      <c r="S413" s="8">
        <f t="shared" si="60"/>
        <v>76.926634816769109</v>
      </c>
      <c r="T413" s="8">
        <f t="shared" si="61"/>
        <v>9.0733651832308908</v>
      </c>
      <c r="U413" t="str">
        <f t="shared" si="62"/>
        <v>Mid</v>
      </c>
    </row>
    <row r="414" spans="1:21">
      <c r="A414" s="1">
        <v>430</v>
      </c>
      <c r="B414" s="2">
        <v>2013</v>
      </c>
      <c r="C414" s="1" t="s">
        <v>57</v>
      </c>
      <c r="D414" s="1" t="s">
        <v>58</v>
      </c>
      <c r="E414" s="1" t="s">
        <v>26</v>
      </c>
      <c r="F414" s="1" t="s">
        <v>35</v>
      </c>
      <c r="G414" s="9">
        <v>75562500</v>
      </c>
      <c r="H414" s="1">
        <v>66</v>
      </c>
      <c r="I414" s="1">
        <v>96</v>
      </c>
      <c r="J414" s="5">
        <v>23.1</v>
      </c>
      <c r="K414" s="1" t="s">
        <v>19</v>
      </c>
      <c r="L414" s="1" t="s">
        <v>19</v>
      </c>
      <c r="M414" s="10">
        <f t="shared" si="54"/>
        <v>3271103.8961038957</v>
      </c>
      <c r="N414" s="10">
        <f t="shared" si="55"/>
        <v>1144886.3636363635</v>
      </c>
      <c r="O414" s="1">
        <f t="shared" si="56"/>
        <v>23</v>
      </c>
      <c r="P414" s="1">
        <f t="shared" si="57"/>
        <v>26</v>
      </c>
      <c r="Q414" s="1">
        <f t="shared" si="58"/>
        <v>-3</v>
      </c>
      <c r="R414" s="6">
        <f t="shared" si="59"/>
        <v>0.40740740740740738</v>
      </c>
      <c r="S414" s="8">
        <f t="shared" si="60"/>
        <v>76.496288506580171</v>
      </c>
      <c r="T414" s="8">
        <f t="shared" si="61"/>
        <v>-10.496288506580171</v>
      </c>
      <c r="U414" t="str">
        <f t="shared" si="62"/>
        <v>Low</v>
      </c>
    </row>
    <row r="415" spans="1:21">
      <c r="A415" s="1">
        <v>222</v>
      </c>
      <c r="B415" s="2">
        <v>2013</v>
      </c>
      <c r="C415" s="1" t="s">
        <v>40</v>
      </c>
      <c r="D415" s="1" t="s">
        <v>41</v>
      </c>
      <c r="E415" s="1" t="s">
        <v>17</v>
      </c>
      <c r="F415" s="1" t="s">
        <v>18</v>
      </c>
      <c r="G415" s="9">
        <v>75449071</v>
      </c>
      <c r="H415" s="1">
        <v>74</v>
      </c>
      <c r="I415" s="1">
        <v>88</v>
      </c>
      <c r="J415" s="5">
        <v>26.4</v>
      </c>
      <c r="K415" s="1" t="s">
        <v>19</v>
      </c>
      <c r="L415" s="1" t="s">
        <v>19</v>
      </c>
      <c r="M415" s="10">
        <f t="shared" si="54"/>
        <v>2857919.3560606064</v>
      </c>
      <c r="N415" s="10">
        <f t="shared" si="55"/>
        <v>1019582.0405405406</v>
      </c>
      <c r="O415" s="1">
        <f t="shared" si="56"/>
        <v>24</v>
      </c>
      <c r="P415" s="1">
        <f t="shared" si="57"/>
        <v>20</v>
      </c>
      <c r="Q415" s="1">
        <f t="shared" si="58"/>
        <v>4</v>
      </c>
      <c r="R415" s="6">
        <f t="shared" si="59"/>
        <v>0.4567901234567901</v>
      </c>
      <c r="S415" s="8">
        <f t="shared" si="60"/>
        <v>76.486385580335494</v>
      </c>
      <c r="T415" s="8">
        <f t="shared" si="61"/>
        <v>-2.4863855803354937</v>
      </c>
      <c r="U415" t="str">
        <f t="shared" si="62"/>
        <v>Low</v>
      </c>
    </row>
    <row r="416" spans="1:21">
      <c r="A416" s="1">
        <v>586</v>
      </c>
      <c r="B416" s="2">
        <v>2013</v>
      </c>
      <c r="C416" s="1" t="s">
        <v>69</v>
      </c>
      <c r="D416" s="1" t="s">
        <v>70</v>
      </c>
      <c r="E416" s="1" t="s">
        <v>17</v>
      </c>
      <c r="F416" s="1" t="s">
        <v>18</v>
      </c>
      <c r="G416" s="9">
        <v>71689900</v>
      </c>
      <c r="H416" s="1">
        <v>76</v>
      </c>
      <c r="I416" s="1">
        <v>86</v>
      </c>
      <c r="J416" s="5">
        <v>29.7</v>
      </c>
      <c r="K416" s="1" t="s">
        <v>19</v>
      </c>
      <c r="L416" s="1" t="s">
        <v>19</v>
      </c>
      <c r="M416" s="10">
        <f t="shared" si="54"/>
        <v>2413801.3468013466</v>
      </c>
      <c r="N416" s="10">
        <f t="shared" si="55"/>
        <v>943288.15789473685</v>
      </c>
      <c r="O416" s="1">
        <f t="shared" si="56"/>
        <v>25</v>
      </c>
      <c r="P416" s="1">
        <f t="shared" si="57"/>
        <v>18</v>
      </c>
      <c r="Q416" s="1">
        <f t="shared" si="58"/>
        <v>7</v>
      </c>
      <c r="R416" s="6">
        <f t="shared" si="59"/>
        <v>0.46913580246913578</v>
      </c>
      <c r="S416" s="8">
        <f t="shared" si="60"/>
        <v>76.158190910946445</v>
      </c>
      <c r="T416" s="8">
        <f t="shared" si="61"/>
        <v>-0.15819091094644477</v>
      </c>
      <c r="U416" t="str">
        <f t="shared" si="62"/>
        <v>Low</v>
      </c>
    </row>
    <row r="417" spans="1:21">
      <c r="A417" s="1">
        <v>508</v>
      </c>
      <c r="B417" s="2">
        <v>2013</v>
      </c>
      <c r="C417" s="1" t="s">
        <v>63</v>
      </c>
      <c r="D417" s="1" t="s">
        <v>64</v>
      </c>
      <c r="E417" s="1" t="s">
        <v>26</v>
      </c>
      <c r="F417" s="1" t="s">
        <v>46</v>
      </c>
      <c r="G417" s="9">
        <v>68577000</v>
      </c>
      <c r="H417" s="1">
        <v>96</v>
      </c>
      <c r="I417" s="1">
        <v>66</v>
      </c>
      <c r="J417" s="5">
        <v>44.6</v>
      </c>
      <c r="K417" s="1" t="s">
        <v>20</v>
      </c>
      <c r="L417" s="1" t="s">
        <v>19</v>
      </c>
      <c r="M417" s="10">
        <f t="shared" si="54"/>
        <v>1537600.8968609865</v>
      </c>
      <c r="N417" s="10">
        <f t="shared" si="55"/>
        <v>714343.75</v>
      </c>
      <c r="O417" s="1">
        <f t="shared" si="56"/>
        <v>26</v>
      </c>
      <c r="P417" s="1">
        <f t="shared" si="57"/>
        <v>3</v>
      </c>
      <c r="Q417" s="1">
        <f t="shared" si="58"/>
        <v>23</v>
      </c>
      <c r="R417" s="6">
        <f t="shared" si="59"/>
        <v>0.59259259259259256</v>
      </c>
      <c r="S417" s="8">
        <f t="shared" si="60"/>
        <v>75.886418973372656</v>
      </c>
      <c r="T417" s="8">
        <f t="shared" si="61"/>
        <v>20.113581026627344</v>
      </c>
      <c r="U417" t="str">
        <f t="shared" si="62"/>
        <v>Low</v>
      </c>
    </row>
    <row r="418" spans="1:21">
      <c r="A418" s="1">
        <v>560</v>
      </c>
      <c r="B418" s="2">
        <v>2013</v>
      </c>
      <c r="C418" s="1" t="s">
        <v>67</v>
      </c>
      <c r="D418" s="1" t="s">
        <v>68</v>
      </c>
      <c r="E418" s="1" t="s">
        <v>17</v>
      </c>
      <c r="F418" s="1" t="s">
        <v>32</v>
      </c>
      <c r="G418" s="9">
        <v>66289524</v>
      </c>
      <c r="H418" s="1">
        <v>94</v>
      </c>
      <c r="I418" s="1">
        <v>68</v>
      </c>
      <c r="J418" s="5">
        <v>41.7</v>
      </c>
      <c r="K418" s="1" t="s">
        <v>20</v>
      </c>
      <c r="L418" s="1" t="s">
        <v>19</v>
      </c>
      <c r="M418" s="10">
        <f t="shared" si="54"/>
        <v>1589676.8345323741</v>
      </c>
      <c r="N418" s="10">
        <f t="shared" si="55"/>
        <v>705207.70212765958</v>
      </c>
      <c r="O418" s="1">
        <f t="shared" si="56"/>
        <v>27</v>
      </c>
      <c r="P418" s="1">
        <f t="shared" si="57"/>
        <v>5</v>
      </c>
      <c r="Q418" s="1">
        <f t="shared" si="58"/>
        <v>22</v>
      </c>
      <c r="R418" s="6">
        <f t="shared" si="59"/>
        <v>0.58024691358024694</v>
      </c>
      <c r="S418" s="8">
        <f t="shared" si="60"/>
        <v>75.6867107319664</v>
      </c>
      <c r="T418" s="8">
        <f t="shared" si="61"/>
        <v>18.3132892680336</v>
      </c>
      <c r="U418" t="str">
        <f t="shared" si="62"/>
        <v>Low</v>
      </c>
    </row>
    <row r="419" spans="1:21">
      <c r="A419" s="1">
        <v>690</v>
      </c>
      <c r="B419" s="2">
        <v>2013</v>
      </c>
      <c r="C419" s="1" t="s">
        <v>77</v>
      </c>
      <c r="D419" s="1" t="s">
        <v>78</v>
      </c>
      <c r="E419" s="1" t="s">
        <v>26</v>
      </c>
      <c r="F419" s="1" t="s">
        <v>27</v>
      </c>
      <c r="G419" s="9">
        <v>57030272</v>
      </c>
      <c r="H419" s="1">
        <v>92</v>
      </c>
      <c r="I419" s="1">
        <v>71</v>
      </c>
      <c r="J419" s="5">
        <v>48.2</v>
      </c>
      <c r="K419" s="1" t="s">
        <v>20</v>
      </c>
      <c r="L419" s="1" t="s">
        <v>19</v>
      </c>
      <c r="M419" s="10">
        <f t="shared" si="54"/>
        <v>1183200.6639004149</v>
      </c>
      <c r="N419" s="10">
        <f t="shared" si="55"/>
        <v>619894.26086956519</v>
      </c>
      <c r="O419" s="1">
        <f t="shared" si="56"/>
        <v>28</v>
      </c>
      <c r="P419" s="1">
        <f t="shared" si="57"/>
        <v>7</v>
      </c>
      <c r="Q419" s="1">
        <f t="shared" si="58"/>
        <v>21</v>
      </c>
      <c r="R419" s="6">
        <f t="shared" si="59"/>
        <v>0.56441717791411039</v>
      </c>
      <c r="S419" s="8">
        <f t="shared" si="60"/>
        <v>74.878331132067927</v>
      </c>
      <c r="T419" s="8">
        <f t="shared" si="61"/>
        <v>17.121668867932073</v>
      </c>
      <c r="U419" t="str">
        <f t="shared" si="62"/>
        <v>Low</v>
      </c>
    </row>
    <row r="420" spans="1:21">
      <c r="A420" s="1">
        <v>378</v>
      </c>
      <c r="B420" s="2">
        <v>2013</v>
      </c>
      <c r="C420" s="1" t="s">
        <v>53</v>
      </c>
      <c r="D420" s="1" t="s">
        <v>54</v>
      </c>
      <c r="E420" s="1" t="s">
        <v>17</v>
      </c>
      <c r="F420" s="1" t="s">
        <v>23</v>
      </c>
      <c r="G420" s="9">
        <v>39621900</v>
      </c>
      <c r="H420" s="1">
        <v>62</v>
      </c>
      <c r="I420" s="1">
        <v>100</v>
      </c>
      <c r="J420" s="5">
        <v>19.8</v>
      </c>
      <c r="K420" s="1" t="s">
        <v>19</v>
      </c>
      <c r="L420" s="1" t="s">
        <v>19</v>
      </c>
      <c r="M420" s="10">
        <f t="shared" si="54"/>
        <v>2001106.0606060605</v>
      </c>
      <c r="N420" s="10">
        <f t="shared" si="55"/>
        <v>639062.90322580643</v>
      </c>
      <c r="O420" s="1">
        <f t="shared" si="56"/>
        <v>29</v>
      </c>
      <c r="P420" s="1">
        <f t="shared" si="57"/>
        <v>29</v>
      </c>
      <c r="Q420" s="1">
        <f t="shared" si="58"/>
        <v>0</v>
      </c>
      <c r="R420" s="6">
        <f t="shared" si="59"/>
        <v>0.38271604938271603</v>
      </c>
      <c r="S420" s="8">
        <f t="shared" si="60"/>
        <v>73.358492078951798</v>
      </c>
      <c r="T420" s="8">
        <f t="shared" si="61"/>
        <v>-11.358492078951798</v>
      </c>
      <c r="U420" t="str">
        <f t="shared" si="62"/>
        <v>Low</v>
      </c>
    </row>
    <row r="421" spans="1:21">
      <c r="A421" s="1">
        <v>274</v>
      </c>
      <c r="B421" s="2">
        <v>2013</v>
      </c>
      <c r="C421" s="1" t="s">
        <v>44</v>
      </c>
      <c r="D421" s="1" t="s">
        <v>45</v>
      </c>
      <c r="E421" s="1" t="s">
        <v>26</v>
      </c>
      <c r="F421" s="1" t="s">
        <v>46</v>
      </c>
      <c r="G421" s="9">
        <v>24328538</v>
      </c>
      <c r="H421" s="1">
        <v>51</v>
      </c>
      <c r="I421" s="1">
        <v>111</v>
      </c>
      <c r="J421" s="5">
        <v>15.1</v>
      </c>
      <c r="K421" s="1" t="s">
        <v>19</v>
      </c>
      <c r="L421" s="1" t="s">
        <v>19</v>
      </c>
      <c r="M421" s="10">
        <f t="shared" si="54"/>
        <v>1611161.4569536424</v>
      </c>
      <c r="N421" s="10">
        <f t="shared" si="55"/>
        <v>477030.15686274512</v>
      </c>
      <c r="O421" s="1">
        <f t="shared" si="56"/>
        <v>30</v>
      </c>
      <c r="P421" s="1">
        <f t="shared" si="57"/>
        <v>30</v>
      </c>
      <c r="Q421" s="1">
        <f t="shared" si="58"/>
        <v>0</v>
      </c>
      <c r="R421" s="6">
        <f t="shared" si="59"/>
        <v>0.31481481481481483</v>
      </c>
      <c r="S421" s="8">
        <f t="shared" si="60"/>
        <v>72.023304111860881</v>
      </c>
      <c r="T421" s="8">
        <f t="shared" si="61"/>
        <v>-21.023304111860881</v>
      </c>
      <c r="U421" t="str">
        <f t="shared" si="62"/>
        <v>Low</v>
      </c>
    </row>
    <row r="422" spans="1:21">
      <c r="A422" s="1">
        <v>353</v>
      </c>
      <c r="B422" s="2">
        <v>2014</v>
      </c>
      <c r="C422" s="1" t="s">
        <v>51</v>
      </c>
      <c r="D422" s="1" t="s">
        <v>52</v>
      </c>
      <c r="E422" s="1" t="s">
        <v>17</v>
      </c>
      <c r="F422" s="1" t="s">
        <v>18</v>
      </c>
      <c r="G422" s="9">
        <v>235295219</v>
      </c>
      <c r="H422" s="1">
        <v>94</v>
      </c>
      <c r="I422" s="1">
        <v>68</v>
      </c>
      <c r="J422" s="5">
        <v>48.7</v>
      </c>
      <c r="K422" s="1" t="s">
        <v>20</v>
      </c>
      <c r="L422" s="1" t="s">
        <v>19</v>
      </c>
      <c r="M422" s="10">
        <f t="shared" si="54"/>
        <v>4831524.0041067759</v>
      </c>
      <c r="N422" s="10">
        <f t="shared" si="55"/>
        <v>2503140.6276595746</v>
      </c>
      <c r="O422" s="1">
        <f t="shared" si="56"/>
        <v>1</v>
      </c>
      <c r="P422" s="1">
        <f t="shared" si="57"/>
        <v>4</v>
      </c>
      <c r="Q422" s="1">
        <f t="shared" si="58"/>
        <v>-3</v>
      </c>
      <c r="R422" s="6">
        <f t="shared" si="59"/>
        <v>0.58024691358024694</v>
      </c>
      <c r="S422" s="8">
        <f t="shared" si="60"/>
        <v>90.441763959231707</v>
      </c>
      <c r="T422" s="8">
        <f t="shared" si="61"/>
        <v>3.5582360407682927</v>
      </c>
      <c r="U422" t="str">
        <f t="shared" si="62"/>
        <v>High</v>
      </c>
    </row>
    <row r="423" spans="1:21">
      <c r="A423" s="1">
        <v>483</v>
      </c>
      <c r="B423" s="2">
        <v>2014</v>
      </c>
      <c r="C423" s="1" t="s">
        <v>61</v>
      </c>
      <c r="D423" s="1" t="s">
        <v>62</v>
      </c>
      <c r="E423" s="1" t="s">
        <v>26</v>
      </c>
      <c r="F423" s="1" t="s">
        <v>27</v>
      </c>
      <c r="G423" s="9">
        <v>203812506</v>
      </c>
      <c r="H423" s="1">
        <v>84</v>
      </c>
      <c r="I423" s="1">
        <v>78</v>
      </c>
      <c r="J423" s="5">
        <v>31.4</v>
      </c>
      <c r="K423" s="1" t="s">
        <v>19</v>
      </c>
      <c r="L423" s="1" t="s">
        <v>19</v>
      </c>
      <c r="M423" s="10">
        <f t="shared" si="54"/>
        <v>6490844.1401273888</v>
      </c>
      <c r="N423" s="10">
        <f t="shared" si="55"/>
        <v>2426339.3571428573</v>
      </c>
      <c r="O423" s="1">
        <f t="shared" si="56"/>
        <v>2</v>
      </c>
      <c r="P423" s="1">
        <f t="shared" si="57"/>
        <v>13</v>
      </c>
      <c r="Q423" s="1">
        <f t="shared" si="58"/>
        <v>-11</v>
      </c>
      <c r="R423" s="6">
        <f t="shared" si="59"/>
        <v>0.51851851851851849</v>
      </c>
      <c r="S423" s="8">
        <f t="shared" si="60"/>
        <v>87.693163646953963</v>
      </c>
      <c r="T423" s="8">
        <f t="shared" si="61"/>
        <v>-3.6931636469539626</v>
      </c>
      <c r="U423" t="str">
        <f t="shared" si="62"/>
        <v>High</v>
      </c>
    </row>
    <row r="424" spans="1:21">
      <c r="A424" s="1">
        <v>535</v>
      </c>
      <c r="B424" s="2">
        <v>2014</v>
      </c>
      <c r="C424" s="1" t="s">
        <v>65</v>
      </c>
      <c r="D424" s="1" t="s">
        <v>66</v>
      </c>
      <c r="E424" s="1" t="s">
        <v>17</v>
      </c>
      <c r="F424" s="1" t="s">
        <v>23</v>
      </c>
      <c r="G424" s="9">
        <v>180052723</v>
      </c>
      <c r="H424" s="1">
        <v>73</v>
      </c>
      <c r="I424" s="1">
        <v>89</v>
      </c>
      <c r="J424" s="5">
        <v>23.1</v>
      </c>
      <c r="K424" s="1" t="s">
        <v>19</v>
      </c>
      <c r="L424" s="1" t="s">
        <v>19</v>
      </c>
      <c r="M424" s="10">
        <f t="shared" si="54"/>
        <v>7794490.173160173</v>
      </c>
      <c r="N424" s="10">
        <f t="shared" si="55"/>
        <v>2466475.6575342468</v>
      </c>
      <c r="O424" s="1">
        <f t="shared" si="56"/>
        <v>3</v>
      </c>
      <c r="P424" s="1">
        <f t="shared" si="57"/>
        <v>22</v>
      </c>
      <c r="Q424" s="1">
        <f t="shared" si="58"/>
        <v>-19</v>
      </c>
      <c r="R424" s="6">
        <f t="shared" si="59"/>
        <v>0.45061728395061729</v>
      </c>
      <c r="S424" s="8">
        <f t="shared" si="60"/>
        <v>85.618814242140871</v>
      </c>
      <c r="T424" s="8">
        <f t="shared" si="61"/>
        <v>-12.618814242140871</v>
      </c>
      <c r="U424" t="str">
        <f t="shared" si="62"/>
        <v>High</v>
      </c>
    </row>
    <row r="425" spans="1:21">
      <c r="A425" s="1">
        <v>93</v>
      </c>
      <c r="B425" s="2">
        <v>2014</v>
      </c>
      <c r="C425" s="1" t="s">
        <v>28</v>
      </c>
      <c r="D425" s="1" t="s">
        <v>29</v>
      </c>
      <c r="E425" s="1" t="s">
        <v>26</v>
      </c>
      <c r="F425" s="1" t="s">
        <v>27</v>
      </c>
      <c r="G425" s="9">
        <v>162817411</v>
      </c>
      <c r="H425" s="1">
        <v>71</v>
      </c>
      <c r="I425" s="1">
        <v>91</v>
      </c>
      <c r="J425" s="5">
        <v>26.1</v>
      </c>
      <c r="K425" s="1" t="s">
        <v>19</v>
      </c>
      <c r="L425" s="1" t="s">
        <v>19</v>
      </c>
      <c r="M425" s="10">
        <f t="shared" si="54"/>
        <v>6238214.9808429116</v>
      </c>
      <c r="N425" s="10">
        <f t="shared" si="55"/>
        <v>2293202.971830986</v>
      </c>
      <c r="O425" s="1">
        <f t="shared" si="56"/>
        <v>4</v>
      </c>
      <c r="P425" s="1">
        <f t="shared" si="57"/>
        <v>25</v>
      </c>
      <c r="Q425" s="1">
        <f t="shared" si="58"/>
        <v>-21</v>
      </c>
      <c r="R425" s="6">
        <f t="shared" si="59"/>
        <v>0.43827160493827161</v>
      </c>
      <c r="S425" s="8">
        <f t="shared" si="60"/>
        <v>84.11408420361451</v>
      </c>
      <c r="T425" s="8">
        <f t="shared" si="61"/>
        <v>-13.11408420361451</v>
      </c>
      <c r="U425" t="str">
        <f t="shared" si="62"/>
        <v>High</v>
      </c>
    </row>
    <row r="426" spans="1:21">
      <c r="A426" s="1">
        <v>249</v>
      </c>
      <c r="B426" s="2">
        <v>2014</v>
      </c>
      <c r="C426" s="1" t="s">
        <v>42</v>
      </c>
      <c r="D426" s="1" t="s">
        <v>43</v>
      </c>
      <c r="E426" s="1" t="s">
        <v>26</v>
      </c>
      <c r="F426" s="1" t="s">
        <v>35</v>
      </c>
      <c r="G426" s="9">
        <v>162228527</v>
      </c>
      <c r="H426" s="1">
        <v>90</v>
      </c>
      <c r="I426" s="1">
        <v>72</v>
      </c>
      <c r="J426" s="5">
        <v>43.7</v>
      </c>
      <c r="K426" s="1" t="s">
        <v>20</v>
      </c>
      <c r="L426" s="1" t="s">
        <v>19</v>
      </c>
      <c r="M426" s="10">
        <f t="shared" si="54"/>
        <v>3712323.2723112125</v>
      </c>
      <c r="N426" s="10">
        <f t="shared" si="55"/>
        <v>1802539.1888888888</v>
      </c>
      <c r="O426" s="1">
        <f t="shared" si="56"/>
        <v>5</v>
      </c>
      <c r="P426" s="1">
        <f t="shared" si="57"/>
        <v>5</v>
      </c>
      <c r="Q426" s="1">
        <f t="shared" si="58"/>
        <v>0</v>
      </c>
      <c r="R426" s="6">
        <f t="shared" si="59"/>
        <v>0.55555555555555558</v>
      </c>
      <c r="S426" s="8">
        <f t="shared" si="60"/>
        <v>84.062671647577957</v>
      </c>
      <c r="T426" s="8">
        <f t="shared" si="61"/>
        <v>5.9373283524220426</v>
      </c>
      <c r="U426" t="str">
        <f t="shared" si="62"/>
        <v>High</v>
      </c>
    </row>
    <row r="427" spans="1:21">
      <c r="A427" s="1">
        <v>327</v>
      </c>
      <c r="B427" s="2">
        <v>2014</v>
      </c>
      <c r="C427" s="1" t="s">
        <v>49</v>
      </c>
      <c r="D427" s="1" t="s">
        <v>50</v>
      </c>
      <c r="E427" s="1" t="s">
        <v>26</v>
      </c>
      <c r="F427" s="1" t="s">
        <v>46</v>
      </c>
      <c r="G427" s="9">
        <v>155692000</v>
      </c>
      <c r="H427" s="1">
        <v>98</v>
      </c>
      <c r="I427" s="1">
        <v>64</v>
      </c>
      <c r="J427" s="5">
        <v>52.2</v>
      </c>
      <c r="K427" s="1" t="s">
        <v>20</v>
      </c>
      <c r="L427" s="1" t="s">
        <v>19</v>
      </c>
      <c r="M427" s="10">
        <f t="shared" si="54"/>
        <v>2982605.3639846742</v>
      </c>
      <c r="N427" s="10">
        <f t="shared" si="55"/>
        <v>1588693.8775510204</v>
      </c>
      <c r="O427" s="1">
        <f t="shared" si="56"/>
        <v>6</v>
      </c>
      <c r="P427" s="1">
        <f t="shared" si="57"/>
        <v>1</v>
      </c>
      <c r="Q427" s="1">
        <f t="shared" si="58"/>
        <v>5</v>
      </c>
      <c r="R427" s="6">
        <f t="shared" si="59"/>
        <v>0.60493827160493829</v>
      </c>
      <c r="S427" s="8">
        <f t="shared" si="60"/>
        <v>83.491999731424727</v>
      </c>
      <c r="T427" s="8">
        <f t="shared" si="61"/>
        <v>14.508000268575273</v>
      </c>
      <c r="U427" t="str">
        <f t="shared" si="62"/>
        <v>High</v>
      </c>
    </row>
    <row r="428" spans="1:21">
      <c r="A428" s="1">
        <v>613</v>
      </c>
      <c r="B428" s="2">
        <v>2014</v>
      </c>
      <c r="C428" s="1" t="s">
        <v>71</v>
      </c>
      <c r="D428" s="1" t="s">
        <v>72</v>
      </c>
      <c r="E428" s="1" t="s">
        <v>17</v>
      </c>
      <c r="F428" s="1" t="s">
        <v>18</v>
      </c>
      <c r="G428" s="9">
        <v>154185878</v>
      </c>
      <c r="H428" s="1">
        <v>88</v>
      </c>
      <c r="I428" s="1">
        <v>74</v>
      </c>
      <c r="J428" s="5">
        <v>41.2</v>
      </c>
      <c r="K428" s="1" t="s">
        <v>20</v>
      </c>
      <c r="L428" s="1" t="s">
        <v>20</v>
      </c>
      <c r="M428" s="10">
        <f t="shared" si="54"/>
        <v>3742375.6796116503</v>
      </c>
      <c r="N428" s="10">
        <f t="shared" si="55"/>
        <v>1752112.25</v>
      </c>
      <c r="O428" s="1">
        <f t="shared" si="56"/>
        <v>7</v>
      </c>
      <c r="P428" s="1">
        <f t="shared" si="57"/>
        <v>8</v>
      </c>
      <c r="Q428" s="1">
        <f t="shared" si="58"/>
        <v>-1</v>
      </c>
      <c r="R428" s="6">
        <f t="shared" si="59"/>
        <v>0.54320987654320985</v>
      </c>
      <c r="S428" s="8">
        <f t="shared" si="60"/>
        <v>83.360507651961044</v>
      </c>
      <c r="T428" s="8">
        <f t="shared" si="61"/>
        <v>4.6394923480389565</v>
      </c>
      <c r="U428" t="str">
        <f t="shared" si="62"/>
        <v>High</v>
      </c>
    </row>
    <row r="429" spans="1:21">
      <c r="A429" s="1">
        <v>717</v>
      </c>
      <c r="B429" s="2">
        <v>2014</v>
      </c>
      <c r="C429" s="1" t="s">
        <v>79</v>
      </c>
      <c r="D429" s="1" t="s">
        <v>80</v>
      </c>
      <c r="E429" s="1" t="s">
        <v>26</v>
      </c>
      <c r="F429" s="1" t="s">
        <v>46</v>
      </c>
      <c r="G429" s="9">
        <v>136036172</v>
      </c>
      <c r="H429" s="1">
        <v>67</v>
      </c>
      <c r="I429" s="1">
        <v>95</v>
      </c>
      <c r="J429" s="5">
        <v>14.2</v>
      </c>
      <c r="K429" s="1" t="s">
        <v>19</v>
      </c>
      <c r="L429" s="1" t="s">
        <v>19</v>
      </c>
      <c r="M429" s="10">
        <f t="shared" si="54"/>
        <v>9580012.1126760561</v>
      </c>
      <c r="N429" s="10">
        <f t="shared" si="55"/>
        <v>2030390.6268656717</v>
      </c>
      <c r="O429" s="1">
        <f t="shared" si="56"/>
        <v>8</v>
      </c>
      <c r="P429" s="1">
        <f t="shared" si="57"/>
        <v>28</v>
      </c>
      <c r="Q429" s="1">
        <f t="shared" si="58"/>
        <v>-20</v>
      </c>
      <c r="R429" s="6">
        <f t="shared" si="59"/>
        <v>0.41358024691358025</v>
      </c>
      <c r="S429" s="8">
        <f t="shared" si="60"/>
        <v>81.775946385613082</v>
      </c>
      <c r="T429" s="8">
        <f t="shared" si="61"/>
        <v>-14.775946385613082</v>
      </c>
      <c r="U429" t="str">
        <f t="shared" si="62"/>
        <v>Mid</v>
      </c>
    </row>
    <row r="430" spans="1:21">
      <c r="A430" s="1">
        <v>769</v>
      </c>
      <c r="B430" s="2">
        <v>2014</v>
      </c>
      <c r="C430" s="1" t="s">
        <v>83</v>
      </c>
      <c r="D430" s="1" t="s">
        <v>84</v>
      </c>
      <c r="E430" s="1" t="s">
        <v>17</v>
      </c>
      <c r="F430" s="1" t="s">
        <v>23</v>
      </c>
      <c r="G430" s="9">
        <v>134704437</v>
      </c>
      <c r="H430" s="1">
        <v>96</v>
      </c>
      <c r="I430" s="1">
        <v>66</v>
      </c>
      <c r="J430" s="5">
        <v>55.6</v>
      </c>
      <c r="K430" s="1" t="s">
        <v>20</v>
      </c>
      <c r="L430" s="1" t="s">
        <v>19</v>
      </c>
      <c r="M430" s="10">
        <f t="shared" si="54"/>
        <v>2422741.6726618703</v>
      </c>
      <c r="N430" s="10">
        <f t="shared" si="55"/>
        <v>1403171.21875</v>
      </c>
      <c r="O430" s="1">
        <f t="shared" si="56"/>
        <v>9</v>
      </c>
      <c r="P430" s="1">
        <f t="shared" si="57"/>
        <v>2</v>
      </c>
      <c r="Q430" s="1">
        <f t="shared" si="58"/>
        <v>7</v>
      </c>
      <c r="R430" s="6">
        <f t="shared" si="59"/>
        <v>0.59259259259259256</v>
      </c>
      <c r="S430" s="8">
        <f t="shared" si="60"/>
        <v>81.65967917456075</v>
      </c>
      <c r="T430" s="8">
        <f t="shared" si="61"/>
        <v>14.34032082543925</v>
      </c>
      <c r="U430" t="str">
        <f t="shared" si="62"/>
        <v>Mid</v>
      </c>
    </row>
    <row r="431" spans="1:21">
      <c r="A431" s="1">
        <v>743</v>
      </c>
      <c r="B431" s="2">
        <v>2014</v>
      </c>
      <c r="C431" s="1" t="s">
        <v>81</v>
      </c>
      <c r="D431" s="1" t="s">
        <v>82</v>
      </c>
      <c r="E431" s="1" t="s">
        <v>26</v>
      </c>
      <c r="F431" s="1" t="s">
        <v>27</v>
      </c>
      <c r="G431" s="9">
        <v>132628700</v>
      </c>
      <c r="H431" s="1">
        <v>83</v>
      </c>
      <c r="I431" s="1">
        <v>79</v>
      </c>
      <c r="J431" s="5">
        <v>44.6</v>
      </c>
      <c r="K431" s="1" t="s">
        <v>19</v>
      </c>
      <c r="L431" s="1" t="s">
        <v>19</v>
      </c>
      <c r="M431" s="10">
        <f t="shared" si="54"/>
        <v>2973737.6681614351</v>
      </c>
      <c r="N431" s="10">
        <f t="shared" si="55"/>
        <v>1597936.1445783132</v>
      </c>
      <c r="O431" s="1">
        <f t="shared" si="56"/>
        <v>10</v>
      </c>
      <c r="P431" s="1">
        <f t="shared" si="57"/>
        <v>14</v>
      </c>
      <c r="Q431" s="1">
        <f t="shared" si="58"/>
        <v>-4</v>
      </c>
      <c r="R431" s="6">
        <f t="shared" si="59"/>
        <v>0.51234567901234573</v>
      </c>
      <c r="S431" s="8">
        <f t="shared" si="60"/>
        <v>81.478456820362538</v>
      </c>
      <c r="T431" s="8">
        <f t="shared" si="61"/>
        <v>1.5215431796374617</v>
      </c>
      <c r="U431" t="str">
        <f t="shared" si="62"/>
        <v>Mid</v>
      </c>
    </row>
    <row r="432" spans="1:21">
      <c r="A432" s="1">
        <v>15</v>
      </c>
      <c r="B432" s="2">
        <v>2014</v>
      </c>
      <c r="C432" s="1" t="s">
        <v>15</v>
      </c>
      <c r="D432" s="1" t="s">
        <v>16</v>
      </c>
      <c r="E432" s="1" t="s">
        <v>17</v>
      </c>
      <c r="F432" s="1" t="s">
        <v>18</v>
      </c>
      <c r="G432" s="9">
        <v>112688666</v>
      </c>
      <c r="H432" s="1">
        <v>64</v>
      </c>
      <c r="I432" s="1">
        <v>98</v>
      </c>
      <c r="J432" s="5">
        <v>21.5</v>
      </c>
      <c r="K432" s="1" t="s">
        <v>19</v>
      </c>
      <c r="L432" s="1" t="s">
        <v>19</v>
      </c>
      <c r="M432" s="10">
        <f t="shared" si="54"/>
        <v>5241333.3023255812</v>
      </c>
      <c r="N432" s="10">
        <f t="shared" si="55"/>
        <v>1760760.40625</v>
      </c>
      <c r="O432" s="1">
        <f t="shared" si="56"/>
        <v>11</v>
      </c>
      <c r="P432" s="1">
        <f t="shared" si="57"/>
        <v>30</v>
      </c>
      <c r="Q432" s="1">
        <f t="shared" si="58"/>
        <v>-19</v>
      </c>
      <c r="R432" s="6">
        <f t="shared" si="59"/>
        <v>0.39506172839506171</v>
      </c>
      <c r="S432" s="8">
        <f t="shared" si="60"/>
        <v>79.737590851180386</v>
      </c>
      <c r="T432" s="8">
        <f t="shared" si="61"/>
        <v>-15.737590851180386</v>
      </c>
      <c r="U432" t="str">
        <f t="shared" si="62"/>
        <v>Mid</v>
      </c>
    </row>
    <row r="433" spans="1:21">
      <c r="A433" s="1">
        <v>171</v>
      </c>
      <c r="B433" s="2">
        <v>2014</v>
      </c>
      <c r="C433" s="1" t="s">
        <v>36</v>
      </c>
      <c r="D433" s="1" t="s">
        <v>37</v>
      </c>
      <c r="E433" s="1" t="s">
        <v>17</v>
      </c>
      <c r="F433" s="1" t="s">
        <v>32</v>
      </c>
      <c r="G433" s="9">
        <v>112390772</v>
      </c>
      <c r="H433" s="1">
        <v>76</v>
      </c>
      <c r="I433" s="1">
        <v>86</v>
      </c>
      <c r="J433" s="5">
        <v>33.9</v>
      </c>
      <c r="K433" s="1" t="s">
        <v>19</v>
      </c>
      <c r="L433" s="1" t="s">
        <v>19</v>
      </c>
      <c r="M433" s="10">
        <f t="shared" si="54"/>
        <v>3315362.005899705</v>
      </c>
      <c r="N433" s="10">
        <f t="shared" si="55"/>
        <v>1478825.9473684211</v>
      </c>
      <c r="O433" s="1">
        <f t="shared" si="56"/>
        <v>12</v>
      </c>
      <c r="P433" s="1">
        <f t="shared" si="57"/>
        <v>21</v>
      </c>
      <c r="Q433" s="1">
        <f t="shared" si="58"/>
        <v>-9</v>
      </c>
      <c r="R433" s="6">
        <f t="shared" si="59"/>
        <v>0.46913580246913578</v>
      </c>
      <c r="S433" s="8">
        <f t="shared" si="60"/>
        <v>79.711583196076901</v>
      </c>
      <c r="T433" s="8">
        <f t="shared" si="61"/>
        <v>-3.7115831960769015</v>
      </c>
      <c r="U433" t="str">
        <f t="shared" si="62"/>
        <v>Mid</v>
      </c>
    </row>
    <row r="434" spans="1:21">
      <c r="A434" s="1">
        <v>665</v>
      </c>
      <c r="B434" s="2">
        <v>2014</v>
      </c>
      <c r="C434" s="1" t="s">
        <v>75</v>
      </c>
      <c r="D434" s="1" t="s">
        <v>76</v>
      </c>
      <c r="E434" s="1" t="s">
        <v>17</v>
      </c>
      <c r="F434" s="1" t="s">
        <v>32</v>
      </c>
      <c r="G434" s="9">
        <v>111020360</v>
      </c>
      <c r="H434" s="1">
        <v>90</v>
      </c>
      <c r="I434" s="1">
        <v>72</v>
      </c>
      <c r="J434" s="5">
        <v>43.1</v>
      </c>
      <c r="K434" s="1" t="s">
        <v>20</v>
      </c>
      <c r="L434" s="1" t="s">
        <v>19</v>
      </c>
      <c r="M434" s="10">
        <f t="shared" si="54"/>
        <v>2575878.4222737816</v>
      </c>
      <c r="N434" s="10">
        <f t="shared" si="55"/>
        <v>1233559.5555555555</v>
      </c>
      <c r="O434" s="1">
        <f t="shared" si="56"/>
        <v>13</v>
      </c>
      <c r="P434" s="1">
        <f t="shared" si="57"/>
        <v>5</v>
      </c>
      <c r="Q434" s="1">
        <f t="shared" si="58"/>
        <v>8</v>
      </c>
      <c r="R434" s="6">
        <f t="shared" si="59"/>
        <v>0.55555555555555558</v>
      </c>
      <c r="S434" s="8">
        <f t="shared" si="60"/>
        <v>79.59193928701643</v>
      </c>
      <c r="T434" s="8">
        <f t="shared" si="61"/>
        <v>10.40806071298357</v>
      </c>
      <c r="U434" t="str">
        <f t="shared" si="62"/>
        <v>Mid</v>
      </c>
    </row>
    <row r="435" spans="1:21">
      <c r="A435" s="1">
        <v>41</v>
      </c>
      <c r="B435" s="2">
        <v>2014</v>
      </c>
      <c r="C435" s="1" t="s">
        <v>21</v>
      </c>
      <c r="D435" s="1" t="s">
        <v>22</v>
      </c>
      <c r="E435" s="1" t="s">
        <v>17</v>
      </c>
      <c r="F435" s="1" t="s">
        <v>23</v>
      </c>
      <c r="G435" s="9">
        <v>110897341</v>
      </c>
      <c r="H435" s="1">
        <v>79</v>
      </c>
      <c r="I435" s="1">
        <v>83</v>
      </c>
      <c r="J435" s="5">
        <v>36.9</v>
      </c>
      <c r="K435" s="1" t="s">
        <v>19</v>
      </c>
      <c r="L435" s="1" t="s">
        <v>19</v>
      </c>
      <c r="M435" s="10">
        <f t="shared" si="54"/>
        <v>3005347.9945799457</v>
      </c>
      <c r="N435" s="10">
        <f t="shared" si="55"/>
        <v>1403763.8101265824</v>
      </c>
      <c r="O435" s="1">
        <f t="shared" si="56"/>
        <v>14</v>
      </c>
      <c r="P435" s="1">
        <f t="shared" si="57"/>
        <v>16</v>
      </c>
      <c r="Q435" s="1">
        <f t="shared" si="58"/>
        <v>-2</v>
      </c>
      <c r="R435" s="6">
        <f t="shared" si="59"/>
        <v>0.48765432098765432</v>
      </c>
      <c r="S435" s="8">
        <f t="shared" si="60"/>
        <v>79.581199105196134</v>
      </c>
      <c r="T435" s="8">
        <f t="shared" si="61"/>
        <v>-0.58119910519613427</v>
      </c>
      <c r="U435" t="str">
        <f t="shared" si="62"/>
        <v>Mid</v>
      </c>
    </row>
    <row r="436" spans="1:21">
      <c r="A436" s="1">
        <v>67</v>
      </c>
      <c r="B436" s="2">
        <v>2014</v>
      </c>
      <c r="C436" s="1" t="s">
        <v>24</v>
      </c>
      <c r="D436" s="1" t="s">
        <v>25</v>
      </c>
      <c r="E436" s="1" t="s">
        <v>26</v>
      </c>
      <c r="F436" s="1" t="s">
        <v>27</v>
      </c>
      <c r="G436" s="9">
        <v>107406623</v>
      </c>
      <c r="H436" s="1">
        <v>96</v>
      </c>
      <c r="I436" s="1">
        <v>66</v>
      </c>
      <c r="J436" s="5">
        <v>48.1</v>
      </c>
      <c r="K436" s="1" t="s">
        <v>20</v>
      </c>
      <c r="L436" s="1" t="s">
        <v>19</v>
      </c>
      <c r="M436" s="10">
        <f t="shared" si="54"/>
        <v>2232985.9251559251</v>
      </c>
      <c r="N436" s="10">
        <f t="shared" si="55"/>
        <v>1118818.9895833333</v>
      </c>
      <c r="O436" s="1">
        <f t="shared" si="56"/>
        <v>15</v>
      </c>
      <c r="P436" s="1">
        <f t="shared" si="57"/>
        <v>2</v>
      </c>
      <c r="Q436" s="1">
        <f t="shared" si="58"/>
        <v>13</v>
      </c>
      <c r="R436" s="6">
        <f t="shared" si="59"/>
        <v>0.59259259259259256</v>
      </c>
      <c r="S436" s="8">
        <f t="shared" si="60"/>
        <v>79.276441742484934</v>
      </c>
      <c r="T436" s="8">
        <f t="shared" si="61"/>
        <v>16.723558257515066</v>
      </c>
      <c r="U436" t="str">
        <f t="shared" si="62"/>
        <v>Mid</v>
      </c>
    </row>
    <row r="437" spans="1:21">
      <c r="A437" s="1">
        <v>405</v>
      </c>
      <c r="B437" s="2">
        <v>2014</v>
      </c>
      <c r="C437" s="1" t="s">
        <v>55</v>
      </c>
      <c r="D437" s="1" t="s">
        <v>56</v>
      </c>
      <c r="E437" s="1" t="s">
        <v>17</v>
      </c>
      <c r="F437" s="1" t="s">
        <v>32</v>
      </c>
      <c r="G437" s="9">
        <v>103844806</v>
      </c>
      <c r="H437" s="1">
        <v>82</v>
      </c>
      <c r="I437" s="1">
        <v>80</v>
      </c>
      <c r="J437" s="5">
        <v>36.6</v>
      </c>
      <c r="K437" s="1" t="s">
        <v>19</v>
      </c>
      <c r="L437" s="1" t="s">
        <v>19</v>
      </c>
      <c r="M437" s="10">
        <f t="shared" si="54"/>
        <v>2837289.781420765</v>
      </c>
      <c r="N437" s="10">
        <f t="shared" si="55"/>
        <v>1266400.0731707318</v>
      </c>
      <c r="O437" s="1">
        <f t="shared" si="56"/>
        <v>16</v>
      </c>
      <c r="P437" s="1">
        <f t="shared" si="57"/>
        <v>15</v>
      </c>
      <c r="Q437" s="1">
        <f t="shared" si="58"/>
        <v>1</v>
      </c>
      <c r="R437" s="6">
        <f t="shared" si="59"/>
        <v>0.50617283950617287</v>
      </c>
      <c r="S437" s="8">
        <f t="shared" si="60"/>
        <v>78.965477076940516</v>
      </c>
      <c r="T437" s="8">
        <f t="shared" si="61"/>
        <v>3.0345229230594839</v>
      </c>
      <c r="U437" t="str">
        <f t="shared" si="62"/>
        <v>Mid</v>
      </c>
    </row>
    <row r="438" spans="1:21">
      <c r="A438" s="1">
        <v>223</v>
      </c>
      <c r="B438" s="2">
        <v>2014</v>
      </c>
      <c r="C438" s="1" t="s">
        <v>40</v>
      </c>
      <c r="D438" s="1" t="s">
        <v>41</v>
      </c>
      <c r="E438" s="1" t="s">
        <v>17</v>
      </c>
      <c r="F438" s="1" t="s">
        <v>18</v>
      </c>
      <c r="G438" s="9">
        <v>95832071</v>
      </c>
      <c r="H438" s="1">
        <v>66</v>
      </c>
      <c r="I438" s="1">
        <v>96</v>
      </c>
      <c r="J438" s="5">
        <v>21.2</v>
      </c>
      <c r="K438" s="1" t="s">
        <v>19</v>
      </c>
      <c r="L438" s="1" t="s">
        <v>19</v>
      </c>
      <c r="M438" s="10">
        <f t="shared" si="54"/>
        <v>4520380.7075471701</v>
      </c>
      <c r="N438" s="10">
        <f t="shared" si="55"/>
        <v>1452001.0757575757</v>
      </c>
      <c r="O438" s="1">
        <f t="shared" si="56"/>
        <v>17</v>
      </c>
      <c r="P438" s="1">
        <f t="shared" si="57"/>
        <v>29</v>
      </c>
      <c r="Q438" s="1">
        <f t="shared" si="58"/>
        <v>-12</v>
      </c>
      <c r="R438" s="6">
        <f t="shared" si="59"/>
        <v>0.40740740740740738</v>
      </c>
      <c r="S438" s="8">
        <f t="shared" si="60"/>
        <v>78.265924725045082</v>
      </c>
      <c r="T438" s="8">
        <f t="shared" si="61"/>
        <v>-12.265924725045082</v>
      </c>
      <c r="U438" t="str">
        <f t="shared" si="62"/>
        <v>Mid</v>
      </c>
    </row>
    <row r="439" spans="1:21">
      <c r="A439" s="1">
        <v>639</v>
      </c>
      <c r="B439" s="2">
        <v>2014</v>
      </c>
      <c r="C439" s="1" t="s">
        <v>73</v>
      </c>
      <c r="D439" s="1" t="s">
        <v>74</v>
      </c>
      <c r="E439" s="1" t="s">
        <v>26</v>
      </c>
      <c r="F439" s="1" t="s">
        <v>46</v>
      </c>
      <c r="G439" s="9">
        <v>92081943</v>
      </c>
      <c r="H439" s="1">
        <v>87</v>
      </c>
      <c r="I439" s="1">
        <v>75</v>
      </c>
      <c r="J439" s="5">
        <v>48.2</v>
      </c>
      <c r="K439" s="1" t="s">
        <v>19</v>
      </c>
      <c r="L439" s="1" t="s">
        <v>19</v>
      </c>
      <c r="M439" s="10">
        <f t="shared" si="54"/>
        <v>1910413.7551867219</v>
      </c>
      <c r="N439" s="10">
        <f t="shared" si="55"/>
        <v>1058413.1379310344</v>
      </c>
      <c r="O439" s="1">
        <f t="shared" si="56"/>
        <v>18</v>
      </c>
      <c r="P439" s="1">
        <f t="shared" si="57"/>
        <v>11</v>
      </c>
      <c r="Q439" s="1">
        <f t="shared" si="58"/>
        <v>7</v>
      </c>
      <c r="R439" s="6">
        <f t="shared" si="59"/>
        <v>0.53703703703703709</v>
      </c>
      <c r="S439" s="8">
        <f t="shared" si="60"/>
        <v>77.938519555360955</v>
      </c>
      <c r="T439" s="8">
        <f t="shared" si="61"/>
        <v>9.0614804446390451</v>
      </c>
      <c r="U439" t="str">
        <f t="shared" si="62"/>
        <v>Mid</v>
      </c>
    </row>
    <row r="440" spans="1:21">
      <c r="A440" s="1">
        <v>301</v>
      </c>
      <c r="B440" s="2">
        <v>2014</v>
      </c>
      <c r="C440" s="1" t="s">
        <v>47</v>
      </c>
      <c r="D440" s="1" t="s">
        <v>48</v>
      </c>
      <c r="E440" s="1" t="s">
        <v>26</v>
      </c>
      <c r="F440" s="1" t="s">
        <v>35</v>
      </c>
      <c r="G440" s="9">
        <v>92034345</v>
      </c>
      <c r="H440" s="1">
        <v>89</v>
      </c>
      <c r="I440" s="1">
        <v>73</v>
      </c>
      <c r="J440" s="5">
        <v>41.7</v>
      </c>
      <c r="K440" s="1" t="s">
        <v>20</v>
      </c>
      <c r="L440" s="1" t="s">
        <v>19</v>
      </c>
      <c r="M440" s="10">
        <f t="shared" si="54"/>
        <v>2207058.6330935252</v>
      </c>
      <c r="N440" s="10">
        <f t="shared" si="55"/>
        <v>1034093.7640449438</v>
      </c>
      <c r="O440" s="1">
        <f t="shared" si="56"/>
        <v>19</v>
      </c>
      <c r="P440" s="1">
        <f t="shared" si="57"/>
        <v>7</v>
      </c>
      <c r="Q440" s="1">
        <f t="shared" si="58"/>
        <v>12</v>
      </c>
      <c r="R440" s="6">
        <f t="shared" si="59"/>
        <v>0.54938271604938271</v>
      </c>
      <c r="S440" s="8">
        <f t="shared" si="60"/>
        <v>77.934364008865842</v>
      </c>
      <c r="T440" s="8">
        <f t="shared" si="61"/>
        <v>11.065635991134158</v>
      </c>
      <c r="U440" t="str">
        <f t="shared" si="62"/>
        <v>Mid</v>
      </c>
    </row>
    <row r="441" spans="1:21">
      <c r="A441" s="1">
        <v>145</v>
      </c>
      <c r="B441" s="2">
        <v>2014</v>
      </c>
      <c r="C441" s="1" t="s">
        <v>33</v>
      </c>
      <c r="D441" s="1" t="s">
        <v>34</v>
      </c>
      <c r="E441" s="1" t="s">
        <v>26</v>
      </c>
      <c r="F441" s="1" t="s">
        <v>35</v>
      </c>
      <c r="G441" s="9">
        <v>91159254</v>
      </c>
      <c r="H441" s="1">
        <v>73</v>
      </c>
      <c r="I441" s="1">
        <v>89</v>
      </c>
      <c r="J441" s="5">
        <v>26.4</v>
      </c>
      <c r="K441" s="1" t="s">
        <v>19</v>
      </c>
      <c r="L441" s="1" t="s">
        <v>19</v>
      </c>
      <c r="M441" s="10">
        <f t="shared" si="54"/>
        <v>3453002.0454545454</v>
      </c>
      <c r="N441" s="10">
        <f t="shared" si="55"/>
        <v>1248756.9041095891</v>
      </c>
      <c r="O441" s="1">
        <f t="shared" si="56"/>
        <v>20</v>
      </c>
      <c r="P441" s="1">
        <f t="shared" si="57"/>
        <v>22</v>
      </c>
      <c r="Q441" s="1">
        <f t="shared" si="58"/>
        <v>-2</v>
      </c>
      <c r="R441" s="6">
        <f t="shared" si="59"/>
        <v>0.45061728395061729</v>
      </c>
      <c r="S441" s="8">
        <f t="shared" si="60"/>
        <v>77.857964132023227</v>
      </c>
      <c r="T441" s="8">
        <f t="shared" si="61"/>
        <v>-4.857964132023227</v>
      </c>
      <c r="U441" t="str">
        <f t="shared" si="62"/>
        <v>Mid</v>
      </c>
    </row>
    <row r="442" spans="1:21">
      <c r="A442" s="1">
        <v>587</v>
      </c>
      <c r="B442" s="2">
        <v>2014</v>
      </c>
      <c r="C442" s="1" t="s">
        <v>69</v>
      </c>
      <c r="D442" s="1" t="s">
        <v>70</v>
      </c>
      <c r="E442" s="1" t="s">
        <v>17</v>
      </c>
      <c r="F442" s="1" t="s">
        <v>18</v>
      </c>
      <c r="G442" s="9">
        <v>90094196</v>
      </c>
      <c r="H442" s="1">
        <v>77</v>
      </c>
      <c r="I442" s="1">
        <v>85</v>
      </c>
      <c r="J442" s="5">
        <v>34.200000000000003</v>
      </c>
      <c r="K442" s="1" t="s">
        <v>19</v>
      </c>
      <c r="L442" s="1" t="s">
        <v>19</v>
      </c>
      <c r="M442" s="10">
        <f t="shared" si="54"/>
        <v>2634333.2163742688</v>
      </c>
      <c r="N442" s="10">
        <f t="shared" si="55"/>
        <v>1170054.4935064935</v>
      </c>
      <c r="O442" s="1">
        <f t="shared" si="56"/>
        <v>21</v>
      </c>
      <c r="P442" s="1">
        <f t="shared" si="57"/>
        <v>18</v>
      </c>
      <c r="Q442" s="1">
        <f t="shared" si="58"/>
        <v>3</v>
      </c>
      <c r="R442" s="6">
        <f t="shared" si="59"/>
        <v>0.47530864197530864</v>
      </c>
      <c r="S442" s="8">
        <f t="shared" si="60"/>
        <v>77.764979173852879</v>
      </c>
      <c r="T442" s="8">
        <f t="shared" si="61"/>
        <v>-0.76497917385287906</v>
      </c>
      <c r="U442" t="str">
        <f t="shared" si="62"/>
        <v>Mid</v>
      </c>
    </row>
    <row r="443" spans="1:21">
      <c r="A443" s="1">
        <v>457</v>
      </c>
      <c r="B443" s="2">
        <v>2014</v>
      </c>
      <c r="C443" s="1" t="s">
        <v>59</v>
      </c>
      <c r="D443" s="1" t="s">
        <v>60</v>
      </c>
      <c r="E443" s="1" t="s">
        <v>17</v>
      </c>
      <c r="F443" s="1" t="s">
        <v>23</v>
      </c>
      <c r="G443" s="9">
        <v>89051758</v>
      </c>
      <c r="H443" s="1">
        <v>79</v>
      </c>
      <c r="I443" s="1">
        <v>83</v>
      </c>
      <c r="J443" s="5">
        <v>39.5</v>
      </c>
      <c r="K443" s="1" t="s">
        <v>19</v>
      </c>
      <c r="L443" s="1" t="s">
        <v>19</v>
      </c>
      <c r="M443" s="10">
        <f t="shared" si="54"/>
        <v>2254474.8860759493</v>
      </c>
      <c r="N443" s="10">
        <f t="shared" si="55"/>
        <v>1127237.4430379746</v>
      </c>
      <c r="O443" s="1">
        <f t="shared" si="56"/>
        <v>22</v>
      </c>
      <c r="P443" s="1">
        <f t="shared" si="57"/>
        <v>16</v>
      </c>
      <c r="Q443" s="1">
        <f t="shared" si="58"/>
        <v>6</v>
      </c>
      <c r="R443" s="6">
        <f t="shared" si="59"/>
        <v>0.48765432098765432</v>
      </c>
      <c r="S443" s="8">
        <f t="shared" si="60"/>
        <v>77.673969056258187</v>
      </c>
      <c r="T443" s="8">
        <f t="shared" si="61"/>
        <v>1.326030943741813</v>
      </c>
      <c r="U443" t="str">
        <f t="shared" si="62"/>
        <v>Mid</v>
      </c>
    </row>
    <row r="444" spans="1:21">
      <c r="A444" s="1">
        <v>119</v>
      </c>
      <c r="B444" s="2">
        <v>2014</v>
      </c>
      <c r="C444" s="1" t="s">
        <v>30</v>
      </c>
      <c r="D444" s="1" t="s">
        <v>31</v>
      </c>
      <c r="E444" s="1" t="s">
        <v>17</v>
      </c>
      <c r="F444" s="1" t="s">
        <v>32</v>
      </c>
      <c r="G444" s="9">
        <v>89007857</v>
      </c>
      <c r="H444" s="1">
        <v>73</v>
      </c>
      <c r="I444" s="1">
        <v>89</v>
      </c>
      <c r="J444" s="5">
        <v>31.3</v>
      </c>
      <c r="K444" s="1" t="s">
        <v>19</v>
      </c>
      <c r="L444" s="1" t="s">
        <v>19</v>
      </c>
      <c r="M444" s="10">
        <f t="shared" si="54"/>
        <v>2843701.5015974441</v>
      </c>
      <c r="N444" s="10">
        <f t="shared" si="55"/>
        <v>1219285.7123287672</v>
      </c>
      <c r="O444" s="1">
        <f t="shared" si="56"/>
        <v>23</v>
      </c>
      <c r="P444" s="1">
        <f t="shared" si="57"/>
        <v>22</v>
      </c>
      <c r="Q444" s="1">
        <f t="shared" si="58"/>
        <v>1</v>
      </c>
      <c r="R444" s="6">
        <f t="shared" si="59"/>
        <v>0.45061728395061729</v>
      </c>
      <c r="S444" s="8">
        <f t="shared" si="60"/>
        <v>77.670136276589247</v>
      </c>
      <c r="T444" s="8">
        <f t="shared" si="61"/>
        <v>-4.6701362765892469</v>
      </c>
      <c r="U444" t="str">
        <f t="shared" si="62"/>
        <v>Mid</v>
      </c>
    </row>
    <row r="445" spans="1:21">
      <c r="A445" s="1">
        <v>431</v>
      </c>
      <c r="B445" s="2">
        <v>2014</v>
      </c>
      <c r="C445" s="1" t="s">
        <v>57</v>
      </c>
      <c r="D445" s="1" t="s">
        <v>58</v>
      </c>
      <c r="E445" s="1" t="s">
        <v>26</v>
      </c>
      <c r="F445" s="1" t="s">
        <v>35</v>
      </c>
      <c r="G445" s="9">
        <v>85776500</v>
      </c>
      <c r="H445" s="1">
        <v>70</v>
      </c>
      <c r="I445" s="1">
        <v>92</v>
      </c>
      <c r="J445" s="5">
        <v>20.8</v>
      </c>
      <c r="K445" s="1" t="s">
        <v>19</v>
      </c>
      <c r="L445" s="1" t="s">
        <v>19</v>
      </c>
      <c r="M445" s="10">
        <f t="shared" si="54"/>
        <v>4123870.192307692</v>
      </c>
      <c r="N445" s="10">
        <f t="shared" si="55"/>
        <v>1225378.5714285714</v>
      </c>
      <c r="O445" s="1">
        <f t="shared" si="56"/>
        <v>24</v>
      </c>
      <c r="P445" s="1">
        <f t="shared" si="57"/>
        <v>26</v>
      </c>
      <c r="Q445" s="1">
        <f t="shared" si="58"/>
        <v>-2</v>
      </c>
      <c r="R445" s="6">
        <f t="shared" si="59"/>
        <v>0.43209876543209874</v>
      </c>
      <c r="S445" s="8">
        <f t="shared" si="60"/>
        <v>77.388022442902781</v>
      </c>
      <c r="T445" s="8">
        <f t="shared" si="61"/>
        <v>-7.3880224429027805</v>
      </c>
      <c r="U445" t="str">
        <f t="shared" si="62"/>
        <v>Mid</v>
      </c>
    </row>
    <row r="446" spans="1:21">
      <c r="A446" s="1">
        <v>509</v>
      </c>
      <c r="B446" s="2">
        <v>2014</v>
      </c>
      <c r="C446" s="1" t="s">
        <v>63</v>
      </c>
      <c r="D446" s="1" t="s">
        <v>64</v>
      </c>
      <c r="E446" s="1" t="s">
        <v>26</v>
      </c>
      <c r="F446" s="1" t="s">
        <v>46</v>
      </c>
      <c r="G446" s="9">
        <v>83401400</v>
      </c>
      <c r="H446" s="1">
        <v>88</v>
      </c>
      <c r="I446" s="1">
        <v>74</v>
      </c>
      <c r="J446" s="5">
        <v>44.9</v>
      </c>
      <c r="K446" s="1" t="s">
        <v>20</v>
      </c>
      <c r="L446" s="1" t="s">
        <v>19</v>
      </c>
      <c r="M446" s="10">
        <f t="shared" si="54"/>
        <v>1857492.2048997774</v>
      </c>
      <c r="N446" s="10">
        <f t="shared" si="55"/>
        <v>947743.18181818177</v>
      </c>
      <c r="O446" s="1">
        <f t="shared" si="56"/>
        <v>25</v>
      </c>
      <c r="P446" s="1">
        <f t="shared" si="57"/>
        <v>8</v>
      </c>
      <c r="Q446" s="1">
        <f t="shared" si="58"/>
        <v>17</v>
      </c>
      <c r="R446" s="6">
        <f t="shared" si="59"/>
        <v>0.54320987654320985</v>
      </c>
      <c r="S446" s="8">
        <f t="shared" si="60"/>
        <v>77.180664182460262</v>
      </c>
      <c r="T446" s="8">
        <f t="shared" si="61"/>
        <v>10.819335817539738</v>
      </c>
      <c r="U446" t="str">
        <f t="shared" si="62"/>
        <v>Mid</v>
      </c>
    </row>
    <row r="447" spans="1:21">
      <c r="A447" s="1">
        <v>197</v>
      </c>
      <c r="B447" s="2">
        <v>2014</v>
      </c>
      <c r="C447" s="1" t="s">
        <v>38</v>
      </c>
      <c r="D447" s="1" t="s">
        <v>39</v>
      </c>
      <c r="E447" s="1" t="s">
        <v>26</v>
      </c>
      <c r="F447" s="1" t="s">
        <v>35</v>
      </c>
      <c r="G447" s="9">
        <v>82534800</v>
      </c>
      <c r="H447" s="1">
        <v>85</v>
      </c>
      <c r="I447" s="1">
        <v>77</v>
      </c>
      <c r="J447" s="5">
        <v>42.2</v>
      </c>
      <c r="K447" s="1" t="s">
        <v>19</v>
      </c>
      <c r="L447" s="1" t="s">
        <v>19</v>
      </c>
      <c r="M447" s="10">
        <f t="shared" si="54"/>
        <v>1955800.9478672985</v>
      </c>
      <c r="N447" s="10">
        <f t="shared" si="55"/>
        <v>970997.6470588235</v>
      </c>
      <c r="O447" s="1">
        <f t="shared" si="56"/>
        <v>26</v>
      </c>
      <c r="P447" s="1">
        <f t="shared" si="57"/>
        <v>12</v>
      </c>
      <c r="Q447" s="1">
        <f t="shared" si="58"/>
        <v>14</v>
      </c>
      <c r="R447" s="6">
        <f t="shared" si="59"/>
        <v>0.52469135802469136</v>
      </c>
      <c r="S447" s="8">
        <f t="shared" si="60"/>
        <v>77.105005612926576</v>
      </c>
      <c r="T447" s="8">
        <f t="shared" si="61"/>
        <v>7.8949943870734245</v>
      </c>
      <c r="U447" t="str">
        <f t="shared" si="62"/>
        <v>Mid</v>
      </c>
    </row>
    <row r="448" spans="1:21">
      <c r="A448" s="1">
        <v>561</v>
      </c>
      <c r="B448" s="2">
        <v>2014</v>
      </c>
      <c r="C448" s="1" t="s">
        <v>67</v>
      </c>
      <c r="D448" s="1" t="s">
        <v>68</v>
      </c>
      <c r="E448" s="1" t="s">
        <v>17</v>
      </c>
      <c r="F448" s="1" t="s">
        <v>32</v>
      </c>
      <c r="G448" s="9">
        <v>78111667</v>
      </c>
      <c r="H448" s="1">
        <v>88</v>
      </c>
      <c r="I448" s="1">
        <v>74</v>
      </c>
      <c r="J448" s="5">
        <v>42.5</v>
      </c>
      <c r="K448" s="1" t="s">
        <v>20</v>
      </c>
      <c r="L448" s="1" t="s">
        <v>19</v>
      </c>
      <c r="M448" s="10">
        <f t="shared" si="54"/>
        <v>1837921.5764705883</v>
      </c>
      <c r="N448" s="10">
        <f t="shared" si="55"/>
        <v>887632.57954545459</v>
      </c>
      <c r="O448" s="1">
        <f t="shared" si="56"/>
        <v>27</v>
      </c>
      <c r="P448" s="1">
        <f t="shared" si="57"/>
        <v>8</v>
      </c>
      <c r="Q448" s="1">
        <f t="shared" si="58"/>
        <v>19</v>
      </c>
      <c r="R448" s="6">
        <f t="shared" si="59"/>
        <v>0.54320987654320985</v>
      </c>
      <c r="S448" s="8">
        <f t="shared" si="60"/>
        <v>76.718843697813156</v>
      </c>
      <c r="T448" s="8">
        <f t="shared" si="61"/>
        <v>11.281156302186844</v>
      </c>
      <c r="U448" t="str">
        <f t="shared" si="62"/>
        <v>Low</v>
      </c>
    </row>
    <row r="449" spans="1:21">
      <c r="A449" s="1">
        <v>691</v>
      </c>
      <c r="B449" s="2">
        <v>2014</v>
      </c>
      <c r="C449" s="1" t="s">
        <v>77</v>
      </c>
      <c r="D449" s="1" t="s">
        <v>78</v>
      </c>
      <c r="E449" s="1" t="s">
        <v>26</v>
      </c>
      <c r="F449" s="1" t="s">
        <v>27</v>
      </c>
      <c r="G449" s="9">
        <v>77062891</v>
      </c>
      <c r="H449" s="1">
        <v>77</v>
      </c>
      <c r="I449" s="1">
        <v>85</v>
      </c>
      <c r="J449" s="5">
        <v>42.4</v>
      </c>
      <c r="K449" s="1" t="s">
        <v>19</v>
      </c>
      <c r="L449" s="1" t="s">
        <v>19</v>
      </c>
      <c r="M449" s="10">
        <f t="shared" si="54"/>
        <v>1817521.0141509434</v>
      </c>
      <c r="N449" s="10">
        <f t="shared" si="55"/>
        <v>1000816.7662337662</v>
      </c>
      <c r="O449" s="1">
        <f t="shared" si="56"/>
        <v>28</v>
      </c>
      <c r="P449" s="1">
        <f t="shared" si="57"/>
        <v>18</v>
      </c>
      <c r="Q449" s="1">
        <f t="shared" si="58"/>
        <v>10</v>
      </c>
      <c r="R449" s="6">
        <f t="shared" si="59"/>
        <v>0.47530864197530864</v>
      </c>
      <c r="S449" s="8">
        <f t="shared" si="60"/>
        <v>76.627280240714995</v>
      </c>
      <c r="T449" s="8">
        <f t="shared" si="61"/>
        <v>0.37271975928500467</v>
      </c>
      <c r="U449" t="str">
        <f t="shared" si="62"/>
        <v>Low</v>
      </c>
    </row>
    <row r="450" spans="1:21">
      <c r="A450" s="1">
        <v>379</v>
      </c>
      <c r="B450" s="2">
        <v>2014</v>
      </c>
      <c r="C450" s="1" t="s">
        <v>53</v>
      </c>
      <c r="D450" s="1" t="s">
        <v>54</v>
      </c>
      <c r="E450" s="1" t="s">
        <v>17</v>
      </c>
      <c r="F450" s="1" t="s">
        <v>23</v>
      </c>
      <c r="G450" s="9">
        <v>47565400</v>
      </c>
      <c r="H450" s="1">
        <v>77</v>
      </c>
      <c r="I450" s="1">
        <v>85</v>
      </c>
      <c r="J450" s="5">
        <v>35.200000000000003</v>
      </c>
      <c r="K450" s="1" t="s">
        <v>19</v>
      </c>
      <c r="L450" s="1" t="s">
        <v>19</v>
      </c>
      <c r="M450" s="10">
        <f t="shared" ref="M450:M513" si="63">G450/J450</f>
        <v>1351289.7727272727</v>
      </c>
      <c r="N450" s="10">
        <f t="shared" ref="N450:N513" si="64">G450/H450</f>
        <v>617732.46753246756</v>
      </c>
      <c r="O450" s="1">
        <f t="shared" si="56"/>
        <v>29</v>
      </c>
      <c r="P450" s="1">
        <f t="shared" si="57"/>
        <v>18</v>
      </c>
      <c r="Q450" s="1">
        <f t="shared" si="58"/>
        <v>11</v>
      </c>
      <c r="R450" s="6">
        <f t="shared" si="59"/>
        <v>0.47530864197530864</v>
      </c>
      <c r="S450" s="8">
        <f t="shared" si="60"/>
        <v>74.051999864655599</v>
      </c>
      <c r="T450" s="8">
        <f t="shared" si="61"/>
        <v>2.948000135344401</v>
      </c>
      <c r="U450" t="str">
        <f t="shared" si="62"/>
        <v>Low</v>
      </c>
    </row>
    <row r="451" spans="1:21">
      <c r="A451" s="1">
        <v>275</v>
      </c>
      <c r="B451" s="2">
        <v>2014</v>
      </c>
      <c r="C451" s="1" t="s">
        <v>44</v>
      </c>
      <c r="D451" s="1" t="s">
        <v>45</v>
      </c>
      <c r="E451" s="1" t="s">
        <v>26</v>
      </c>
      <c r="F451" s="1" t="s">
        <v>46</v>
      </c>
      <c r="G451" s="9">
        <v>44544174</v>
      </c>
      <c r="H451" s="1">
        <v>70</v>
      </c>
      <c r="I451" s="1">
        <v>92</v>
      </c>
      <c r="J451" s="5">
        <v>29.7</v>
      </c>
      <c r="K451" s="1" t="s">
        <v>19</v>
      </c>
      <c r="L451" s="1" t="s">
        <v>19</v>
      </c>
      <c r="M451" s="10">
        <f t="shared" si="63"/>
        <v>1499803.8383838385</v>
      </c>
      <c r="N451" s="10">
        <f t="shared" si="64"/>
        <v>636345.34285714291</v>
      </c>
      <c r="O451" s="1">
        <f t="shared" ref="O451:O514" si="65">COUNTIFS($B$2:$B$1000, B451, $G$2:$G$1000, "&gt;"&amp;G451) + 1</f>
        <v>30</v>
      </c>
      <c r="P451" s="1">
        <f t="shared" ref="P451:P514" si="66">COUNTIFS($B$2:$B$1000, B451, $H$2:$H$1000, "&gt;"&amp;H451) + 1</f>
        <v>26</v>
      </c>
      <c r="Q451" s="1">
        <f t="shared" ref="Q451:Q514" si="67">O451-P451</f>
        <v>4</v>
      </c>
      <c r="R451" s="6">
        <f t="shared" ref="R451:R514" si="68">H451/(H451+I451)</f>
        <v>0.43209876543209874</v>
      </c>
      <c r="S451" s="8">
        <f t="shared" ref="S451:S514" si="69">_xlfn.FORECAST.LINEAR(G451, $H$2:$H$781, $G$2:$G$781)</f>
        <v>73.788231531632277</v>
      </c>
      <c r="T451" s="8">
        <f t="shared" ref="T451:T514" si="70">H451-S451</f>
        <v>-3.7882315316322774</v>
      </c>
      <c r="U451" t="str">
        <f t="shared" ref="U451:U514" si="71">IF(G451&lt;80000000,"Low",
 IF(G451&lt;150000000,"Mid","High"))</f>
        <v>Low</v>
      </c>
    </row>
    <row r="452" spans="1:21">
      <c r="A452" s="1">
        <v>354</v>
      </c>
      <c r="B452" s="2">
        <v>2015</v>
      </c>
      <c r="C452" s="1" t="s">
        <v>51</v>
      </c>
      <c r="D452" s="1" t="s">
        <v>52</v>
      </c>
      <c r="E452" s="1" t="s">
        <v>17</v>
      </c>
      <c r="F452" s="1" t="s">
        <v>18</v>
      </c>
      <c r="G452" s="9">
        <v>282175296</v>
      </c>
      <c r="H452" s="1">
        <v>92</v>
      </c>
      <c r="I452" s="1">
        <v>70</v>
      </c>
      <c r="J452" s="5">
        <v>48.1</v>
      </c>
      <c r="K452" s="1" t="s">
        <v>20</v>
      </c>
      <c r="L452" s="1" t="s">
        <v>19</v>
      </c>
      <c r="M452" s="10">
        <f t="shared" si="63"/>
        <v>5866430.2702702703</v>
      </c>
      <c r="N452" s="10">
        <f t="shared" si="64"/>
        <v>3067122.7826086958</v>
      </c>
      <c r="O452" s="1">
        <f t="shared" si="65"/>
        <v>1</v>
      </c>
      <c r="P452" s="1">
        <f t="shared" si="66"/>
        <v>6</v>
      </c>
      <c r="Q452" s="1">
        <f t="shared" si="67"/>
        <v>-5</v>
      </c>
      <c r="R452" s="6">
        <f t="shared" si="68"/>
        <v>0.5679012345679012</v>
      </c>
      <c r="S452" s="8">
        <f t="shared" si="69"/>
        <v>94.534632139995068</v>
      </c>
      <c r="T452" s="8">
        <f t="shared" si="70"/>
        <v>-2.5346321399950682</v>
      </c>
      <c r="U452" t="str">
        <f t="shared" si="71"/>
        <v>High</v>
      </c>
    </row>
    <row r="453" spans="1:21">
      <c r="A453" s="1">
        <v>484</v>
      </c>
      <c r="B453" s="2">
        <v>2015</v>
      </c>
      <c r="C453" s="1" t="s">
        <v>61</v>
      </c>
      <c r="D453" s="1" t="s">
        <v>62</v>
      </c>
      <c r="E453" s="1" t="s">
        <v>26</v>
      </c>
      <c r="F453" s="1" t="s">
        <v>27</v>
      </c>
      <c r="G453" s="9">
        <v>217758571</v>
      </c>
      <c r="H453" s="1">
        <v>87</v>
      </c>
      <c r="I453" s="1">
        <v>75</v>
      </c>
      <c r="J453" s="5">
        <v>43.7</v>
      </c>
      <c r="K453" s="1" t="s">
        <v>20</v>
      </c>
      <c r="L453" s="1" t="s">
        <v>19</v>
      </c>
      <c r="M453" s="10">
        <f t="shared" si="63"/>
        <v>4983033.6613272307</v>
      </c>
      <c r="N453" s="10">
        <f t="shared" si="64"/>
        <v>2502972.0804597703</v>
      </c>
      <c r="O453" s="1">
        <f t="shared" si="65"/>
        <v>2</v>
      </c>
      <c r="P453" s="1">
        <f t="shared" si="66"/>
        <v>9</v>
      </c>
      <c r="Q453" s="1">
        <f t="shared" si="67"/>
        <v>-7</v>
      </c>
      <c r="R453" s="6">
        <f t="shared" si="68"/>
        <v>0.53703703703703709</v>
      </c>
      <c r="S453" s="8">
        <f t="shared" si="69"/>
        <v>88.910725761567335</v>
      </c>
      <c r="T453" s="8">
        <f t="shared" si="70"/>
        <v>-1.9107257615673348</v>
      </c>
      <c r="U453" t="str">
        <f t="shared" si="71"/>
        <v>High</v>
      </c>
    </row>
    <row r="454" spans="1:21">
      <c r="A454" s="1">
        <v>94</v>
      </c>
      <c r="B454" s="2">
        <v>2015</v>
      </c>
      <c r="C454" s="1" t="s">
        <v>28</v>
      </c>
      <c r="D454" s="1" t="s">
        <v>29</v>
      </c>
      <c r="E454" s="1" t="s">
        <v>26</v>
      </c>
      <c r="F454" s="1" t="s">
        <v>27</v>
      </c>
      <c r="G454" s="9">
        <v>180779329</v>
      </c>
      <c r="H454" s="1">
        <v>78</v>
      </c>
      <c r="I454" s="1">
        <v>84</v>
      </c>
      <c r="J454" s="5">
        <v>36.6</v>
      </c>
      <c r="K454" s="1" t="s">
        <v>19</v>
      </c>
      <c r="L454" s="1" t="s">
        <v>19</v>
      </c>
      <c r="M454" s="10">
        <f t="shared" si="63"/>
        <v>4939325.9289617483</v>
      </c>
      <c r="N454" s="10">
        <f t="shared" si="64"/>
        <v>2317683.705128205</v>
      </c>
      <c r="O454" s="1">
        <f t="shared" si="65"/>
        <v>3</v>
      </c>
      <c r="P454" s="1">
        <f t="shared" si="66"/>
        <v>19</v>
      </c>
      <c r="Q454" s="1">
        <f t="shared" si="67"/>
        <v>-16</v>
      </c>
      <c r="R454" s="6">
        <f t="shared" si="68"/>
        <v>0.48148148148148145</v>
      </c>
      <c r="S454" s="8">
        <f t="shared" si="69"/>
        <v>85.682250626371896</v>
      </c>
      <c r="T454" s="8">
        <f t="shared" si="70"/>
        <v>-7.6822506263718964</v>
      </c>
      <c r="U454" t="str">
        <f t="shared" si="71"/>
        <v>High</v>
      </c>
    </row>
    <row r="455" spans="1:21">
      <c r="A455" s="1">
        <v>614</v>
      </c>
      <c r="B455" s="2">
        <v>2015</v>
      </c>
      <c r="C455" s="1" t="s">
        <v>71</v>
      </c>
      <c r="D455" s="1" t="s">
        <v>72</v>
      </c>
      <c r="E455" s="1" t="s">
        <v>17</v>
      </c>
      <c r="F455" s="1" t="s">
        <v>18</v>
      </c>
      <c r="G455" s="9">
        <v>173179277</v>
      </c>
      <c r="H455" s="1">
        <v>84</v>
      </c>
      <c r="I455" s="1">
        <v>78</v>
      </c>
      <c r="J455" s="5">
        <v>41.7</v>
      </c>
      <c r="K455" s="1" t="s">
        <v>19</v>
      </c>
      <c r="L455" s="1" t="s">
        <v>19</v>
      </c>
      <c r="M455" s="10">
        <f t="shared" si="63"/>
        <v>4152980.2637889683</v>
      </c>
      <c r="N455" s="10">
        <f t="shared" si="64"/>
        <v>2061658.0595238095</v>
      </c>
      <c r="O455" s="1">
        <f t="shared" si="65"/>
        <v>4</v>
      </c>
      <c r="P455" s="1">
        <f t="shared" si="66"/>
        <v>12</v>
      </c>
      <c r="Q455" s="1">
        <f t="shared" si="67"/>
        <v>-8</v>
      </c>
      <c r="R455" s="6">
        <f t="shared" si="68"/>
        <v>0.51851851851851849</v>
      </c>
      <c r="S455" s="8">
        <f t="shared" si="69"/>
        <v>85.01872759071334</v>
      </c>
      <c r="T455" s="8">
        <f t="shared" si="70"/>
        <v>-1.0187275907133397</v>
      </c>
      <c r="U455" t="str">
        <f t="shared" si="71"/>
        <v>High</v>
      </c>
    </row>
    <row r="456" spans="1:21">
      <c r="A456" s="1">
        <v>250</v>
      </c>
      <c r="B456" s="2">
        <v>2015</v>
      </c>
      <c r="C456" s="1" t="s">
        <v>42</v>
      </c>
      <c r="D456" s="1" t="s">
        <v>43</v>
      </c>
      <c r="E456" s="1" t="s">
        <v>26</v>
      </c>
      <c r="F456" s="1" t="s">
        <v>35</v>
      </c>
      <c r="G456" s="9">
        <v>172792250</v>
      </c>
      <c r="H456" s="1">
        <v>74</v>
      </c>
      <c r="I456" s="1">
        <v>87</v>
      </c>
      <c r="J456" s="5">
        <v>21.2</v>
      </c>
      <c r="K456" s="1" t="s">
        <v>19</v>
      </c>
      <c r="L456" s="1" t="s">
        <v>19</v>
      </c>
      <c r="M456" s="10">
        <f t="shared" si="63"/>
        <v>8150577.8301886795</v>
      </c>
      <c r="N456" s="10">
        <f t="shared" si="64"/>
        <v>2335030.4054054054</v>
      </c>
      <c r="O456" s="1">
        <f t="shared" si="65"/>
        <v>5</v>
      </c>
      <c r="P456" s="1">
        <f t="shared" si="66"/>
        <v>22</v>
      </c>
      <c r="Q456" s="1">
        <f t="shared" si="67"/>
        <v>-17</v>
      </c>
      <c r="R456" s="6">
        <f t="shared" si="68"/>
        <v>0.45962732919254656</v>
      </c>
      <c r="S456" s="8">
        <f t="shared" si="69"/>
        <v>84.984938173230162</v>
      </c>
      <c r="T456" s="8">
        <f t="shared" si="70"/>
        <v>-10.984938173230162</v>
      </c>
      <c r="U456" t="str">
        <f t="shared" si="71"/>
        <v>High</v>
      </c>
    </row>
    <row r="457" spans="1:21">
      <c r="A457" s="1">
        <v>770</v>
      </c>
      <c r="B457" s="2">
        <v>2015</v>
      </c>
      <c r="C457" s="1" t="s">
        <v>83</v>
      </c>
      <c r="D457" s="1" t="s">
        <v>84</v>
      </c>
      <c r="E457" s="1" t="s">
        <v>17</v>
      </c>
      <c r="F457" s="1" t="s">
        <v>23</v>
      </c>
      <c r="G457" s="9">
        <v>162014559</v>
      </c>
      <c r="H457" s="1">
        <v>83</v>
      </c>
      <c r="I457" s="1">
        <v>79</v>
      </c>
      <c r="J457" s="5">
        <v>45.6</v>
      </c>
      <c r="K457" s="1" t="s">
        <v>19</v>
      </c>
      <c r="L457" s="1" t="s">
        <v>19</v>
      </c>
      <c r="M457" s="10">
        <f t="shared" si="63"/>
        <v>3552950.8552631577</v>
      </c>
      <c r="N457" s="10">
        <f t="shared" si="64"/>
        <v>1951982.6385542168</v>
      </c>
      <c r="O457" s="1">
        <f t="shared" si="65"/>
        <v>6</v>
      </c>
      <c r="P457" s="1">
        <f t="shared" si="66"/>
        <v>13</v>
      </c>
      <c r="Q457" s="1">
        <f t="shared" si="67"/>
        <v>-7</v>
      </c>
      <c r="R457" s="6">
        <f t="shared" si="68"/>
        <v>0.51234567901234573</v>
      </c>
      <c r="S457" s="8">
        <f t="shared" si="69"/>
        <v>84.043991157379494</v>
      </c>
      <c r="T457" s="8">
        <f t="shared" si="70"/>
        <v>-1.0439911573794944</v>
      </c>
      <c r="U457" t="str">
        <f t="shared" si="71"/>
        <v>High</v>
      </c>
    </row>
    <row r="458" spans="1:21">
      <c r="A458" s="1">
        <v>536</v>
      </c>
      <c r="B458" s="2">
        <v>2015</v>
      </c>
      <c r="C458" s="1" t="s">
        <v>65</v>
      </c>
      <c r="D458" s="1" t="s">
        <v>66</v>
      </c>
      <c r="E458" s="1" t="s">
        <v>17</v>
      </c>
      <c r="F458" s="1" t="s">
        <v>23</v>
      </c>
      <c r="G458" s="9">
        <v>147889666</v>
      </c>
      <c r="H458" s="1">
        <v>63</v>
      </c>
      <c r="I458" s="1">
        <v>99</v>
      </c>
      <c r="J458" s="5">
        <v>14.2</v>
      </c>
      <c r="K458" s="1" t="s">
        <v>19</v>
      </c>
      <c r="L458" s="1" t="s">
        <v>19</v>
      </c>
      <c r="M458" s="10">
        <f t="shared" si="63"/>
        <v>10414765.211267605</v>
      </c>
      <c r="N458" s="10">
        <f t="shared" si="64"/>
        <v>2347455.0158730159</v>
      </c>
      <c r="O458" s="1">
        <f t="shared" si="65"/>
        <v>7</v>
      </c>
      <c r="P458" s="1">
        <f t="shared" si="66"/>
        <v>30</v>
      </c>
      <c r="Q458" s="1">
        <f t="shared" si="67"/>
        <v>-23</v>
      </c>
      <c r="R458" s="6">
        <f t="shared" si="68"/>
        <v>0.3888888888888889</v>
      </c>
      <c r="S458" s="8">
        <f t="shared" si="69"/>
        <v>82.810816452560061</v>
      </c>
      <c r="T458" s="8">
        <f t="shared" si="70"/>
        <v>-19.810816452560061</v>
      </c>
      <c r="U458" t="str">
        <f t="shared" si="71"/>
        <v>Mid</v>
      </c>
    </row>
    <row r="459" spans="1:21">
      <c r="A459" s="1">
        <v>718</v>
      </c>
      <c r="B459" s="2">
        <v>2015</v>
      </c>
      <c r="C459" s="1" t="s">
        <v>79</v>
      </c>
      <c r="D459" s="1" t="s">
        <v>80</v>
      </c>
      <c r="E459" s="1" t="s">
        <v>26</v>
      </c>
      <c r="F459" s="1" t="s">
        <v>46</v>
      </c>
      <c r="G459" s="9">
        <v>143733540</v>
      </c>
      <c r="H459" s="1">
        <v>88</v>
      </c>
      <c r="I459" s="1">
        <v>74</v>
      </c>
      <c r="J459" s="5">
        <v>38.9</v>
      </c>
      <c r="K459" s="1" t="s">
        <v>20</v>
      </c>
      <c r="L459" s="1" t="s">
        <v>19</v>
      </c>
      <c r="M459" s="10">
        <f t="shared" si="63"/>
        <v>3694949.6143958871</v>
      </c>
      <c r="N459" s="10">
        <f t="shared" si="64"/>
        <v>1633335.6818181819</v>
      </c>
      <c r="O459" s="1">
        <f t="shared" si="65"/>
        <v>8</v>
      </c>
      <c r="P459" s="1">
        <f t="shared" si="66"/>
        <v>8</v>
      </c>
      <c r="Q459" s="1">
        <f t="shared" si="67"/>
        <v>0</v>
      </c>
      <c r="R459" s="6">
        <f t="shared" si="68"/>
        <v>0.54320987654320985</v>
      </c>
      <c r="S459" s="8">
        <f t="shared" si="69"/>
        <v>82.447965601000178</v>
      </c>
      <c r="T459" s="8">
        <f t="shared" si="70"/>
        <v>5.5520343989998224</v>
      </c>
      <c r="U459" t="str">
        <f t="shared" si="71"/>
        <v>Mid</v>
      </c>
    </row>
    <row r="460" spans="1:21">
      <c r="A460" s="1">
        <v>328</v>
      </c>
      <c r="B460" s="2">
        <v>2015</v>
      </c>
      <c r="C460" s="1" t="s">
        <v>49</v>
      </c>
      <c r="D460" s="1" t="s">
        <v>50</v>
      </c>
      <c r="E460" s="1" t="s">
        <v>26</v>
      </c>
      <c r="F460" s="1" t="s">
        <v>46</v>
      </c>
      <c r="G460" s="9">
        <v>141650332</v>
      </c>
      <c r="H460" s="1">
        <v>85</v>
      </c>
      <c r="I460" s="1">
        <v>77</v>
      </c>
      <c r="J460" s="5">
        <v>38.4</v>
      </c>
      <c r="K460" s="1" t="s">
        <v>19</v>
      </c>
      <c r="L460" s="1" t="s">
        <v>19</v>
      </c>
      <c r="M460" s="10">
        <f t="shared" si="63"/>
        <v>3688810.729166667</v>
      </c>
      <c r="N460" s="10">
        <f t="shared" si="64"/>
        <v>1666474.4941176469</v>
      </c>
      <c r="O460" s="1">
        <f t="shared" si="65"/>
        <v>9</v>
      </c>
      <c r="P460" s="1">
        <f t="shared" si="66"/>
        <v>11</v>
      </c>
      <c r="Q460" s="1">
        <f t="shared" si="67"/>
        <v>-2</v>
      </c>
      <c r="R460" s="6">
        <f t="shared" si="68"/>
        <v>0.52469135802469136</v>
      </c>
      <c r="S460" s="8">
        <f t="shared" si="69"/>
        <v>82.266090990659592</v>
      </c>
      <c r="T460" s="8">
        <f t="shared" si="70"/>
        <v>2.7339090093404081</v>
      </c>
      <c r="U460" t="str">
        <f t="shared" si="71"/>
        <v>Mid</v>
      </c>
    </row>
    <row r="461" spans="1:21">
      <c r="A461" s="1">
        <v>744</v>
      </c>
      <c r="B461" s="2">
        <v>2015</v>
      </c>
      <c r="C461" s="1" t="s">
        <v>81</v>
      </c>
      <c r="D461" s="1" t="s">
        <v>82</v>
      </c>
      <c r="E461" s="1" t="s">
        <v>26</v>
      </c>
      <c r="F461" s="1" t="s">
        <v>27</v>
      </c>
      <c r="G461" s="9">
        <v>125915800</v>
      </c>
      <c r="H461" s="1">
        <v>93</v>
      </c>
      <c r="I461" s="1">
        <v>69</v>
      </c>
      <c r="J461" s="5">
        <v>55.6</v>
      </c>
      <c r="K461" s="1" t="s">
        <v>20</v>
      </c>
      <c r="L461" s="1" t="s">
        <v>19</v>
      </c>
      <c r="M461" s="10">
        <f t="shared" si="63"/>
        <v>2264672.6618705033</v>
      </c>
      <c r="N461" s="10">
        <f t="shared" si="64"/>
        <v>1353933.3333333333</v>
      </c>
      <c r="O461" s="1">
        <f t="shared" si="65"/>
        <v>10</v>
      </c>
      <c r="P461" s="1">
        <f t="shared" si="66"/>
        <v>5</v>
      </c>
      <c r="Q461" s="1">
        <f t="shared" si="67"/>
        <v>5</v>
      </c>
      <c r="R461" s="6">
        <f t="shared" si="68"/>
        <v>0.57407407407407407</v>
      </c>
      <c r="S461" s="8">
        <f t="shared" si="69"/>
        <v>80.892386647938423</v>
      </c>
      <c r="T461" s="8">
        <f t="shared" si="70"/>
        <v>12.107613352061577</v>
      </c>
      <c r="U461" t="str">
        <f t="shared" si="71"/>
        <v>Mid</v>
      </c>
    </row>
    <row r="462" spans="1:21">
      <c r="A462" s="1">
        <v>640</v>
      </c>
      <c r="B462" s="2">
        <v>2015</v>
      </c>
      <c r="C462" s="1" t="s">
        <v>73</v>
      </c>
      <c r="D462" s="1" t="s">
        <v>74</v>
      </c>
      <c r="E462" s="1" t="s">
        <v>26</v>
      </c>
      <c r="F462" s="1" t="s">
        <v>46</v>
      </c>
      <c r="G462" s="9">
        <v>123225843</v>
      </c>
      <c r="H462" s="1">
        <v>76</v>
      </c>
      <c r="I462" s="1">
        <v>86</v>
      </c>
      <c r="J462" s="5">
        <v>33.9</v>
      </c>
      <c r="K462" s="1" t="s">
        <v>19</v>
      </c>
      <c r="L462" s="1" t="s">
        <v>19</v>
      </c>
      <c r="M462" s="10">
        <f t="shared" si="63"/>
        <v>3634980.6194690266</v>
      </c>
      <c r="N462" s="10">
        <f t="shared" si="64"/>
        <v>1621392.6710526317</v>
      </c>
      <c r="O462" s="1">
        <f t="shared" si="65"/>
        <v>11</v>
      </c>
      <c r="P462" s="1">
        <f t="shared" si="66"/>
        <v>20</v>
      </c>
      <c r="Q462" s="1">
        <f t="shared" si="67"/>
        <v>-9</v>
      </c>
      <c r="R462" s="6">
        <f t="shared" si="68"/>
        <v>0.46913580246913578</v>
      </c>
      <c r="S462" s="8">
        <f t="shared" si="69"/>
        <v>80.657539776570829</v>
      </c>
      <c r="T462" s="8">
        <f t="shared" si="70"/>
        <v>-4.6575397765708288</v>
      </c>
      <c r="U462" t="str">
        <f t="shared" si="71"/>
        <v>Mid</v>
      </c>
    </row>
    <row r="463" spans="1:21">
      <c r="A463" s="1">
        <v>666</v>
      </c>
      <c r="B463" s="2">
        <v>2015</v>
      </c>
      <c r="C463" s="1" t="s">
        <v>75</v>
      </c>
      <c r="D463" s="1" t="s">
        <v>76</v>
      </c>
      <c r="E463" s="1" t="s">
        <v>17</v>
      </c>
      <c r="F463" s="1" t="s">
        <v>32</v>
      </c>
      <c r="G463" s="9">
        <v>122066500</v>
      </c>
      <c r="H463" s="1">
        <v>100</v>
      </c>
      <c r="I463" s="1">
        <v>62</v>
      </c>
      <c r="J463" s="5">
        <v>48.2</v>
      </c>
      <c r="K463" s="1" t="s">
        <v>20</v>
      </c>
      <c r="L463" s="1" t="s">
        <v>19</v>
      </c>
      <c r="M463" s="10">
        <f t="shared" si="63"/>
        <v>2532500</v>
      </c>
      <c r="N463" s="10">
        <f t="shared" si="64"/>
        <v>1220665</v>
      </c>
      <c r="O463" s="1">
        <f t="shared" si="65"/>
        <v>12</v>
      </c>
      <c r="P463" s="1">
        <f t="shared" si="66"/>
        <v>1</v>
      </c>
      <c r="Q463" s="1">
        <f t="shared" si="67"/>
        <v>11</v>
      </c>
      <c r="R463" s="6">
        <f t="shared" si="68"/>
        <v>0.61728395061728392</v>
      </c>
      <c r="S463" s="8">
        <f t="shared" si="69"/>
        <v>80.556323260324689</v>
      </c>
      <c r="T463" s="8">
        <f t="shared" si="70"/>
        <v>19.443676739675311</v>
      </c>
      <c r="U463" t="str">
        <f t="shared" si="71"/>
        <v>Mid</v>
      </c>
    </row>
    <row r="464" spans="1:21">
      <c r="A464" s="1">
        <v>120</v>
      </c>
      <c r="B464" s="2">
        <v>2015</v>
      </c>
      <c r="C464" s="1" t="s">
        <v>30</v>
      </c>
      <c r="D464" s="1" t="s">
        <v>31</v>
      </c>
      <c r="E464" s="1" t="s">
        <v>17</v>
      </c>
      <c r="F464" s="1" t="s">
        <v>32</v>
      </c>
      <c r="G464" s="9">
        <v>120337385</v>
      </c>
      <c r="H464" s="1">
        <v>97</v>
      </c>
      <c r="I464" s="1">
        <v>65</v>
      </c>
      <c r="J464" s="5">
        <v>52.2</v>
      </c>
      <c r="K464" s="1" t="s">
        <v>20</v>
      </c>
      <c r="L464" s="1" t="s">
        <v>19</v>
      </c>
      <c r="M464" s="10">
        <f t="shared" si="63"/>
        <v>2305313.888888889</v>
      </c>
      <c r="N464" s="10">
        <f t="shared" si="64"/>
        <v>1240591.5979381443</v>
      </c>
      <c r="O464" s="1">
        <f t="shared" si="65"/>
        <v>13</v>
      </c>
      <c r="P464" s="1">
        <f t="shared" si="66"/>
        <v>3</v>
      </c>
      <c r="Q464" s="1">
        <f t="shared" si="67"/>
        <v>10</v>
      </c>
      <c r="R464" s="6">
        <f t="shared" si="68"/>
        <v>0.59876543209876543</v>
      </c>
      <c r="S464" s="8">
        <f t="shared" si="69"/>
        <v>80.405362762448789</v>
      </c>
      <c r="T464" s="8">
        <f t="shared" si="70"/>
        <v>16.594637237551211</v>
      </c>
      <c r="U464" t="str">
        <f t="shared" si="71"/>
        <v>Mid</v>
      </c>
    </row>
    <row r="465" spans="1:21">
      <c r="A465" s="1">
        <v>68</v>
      </c>
      <c r="B465" s="2">
        <v>2015</v>
      </c>
      <c r="C465" s="1" t="s">
        <v>24</v>
      </c>
      <c r="D465" s="1" t="s">
        <v>25</v>
      </c>
      <c r="E465" s="1" t="s">
        <v>26</v>
      </c>
      <c r="F465" s="1" t="s">
        <v>27</v>
      </c>
      <c r="G465" s="9">
        <v>118975833</v>
      </c>
      <c r="H465" s="1">
        <v>81</v>
      </c>
      <c r="I465" s="1">
        <v>81</v>
      </c>
      <c r="J465" s="5">
        <v>32.700000000000003</v>
      </c>
      <c r="K465" s="1" t="s">
        <v>19</v>
      </c>
      <c r="L465" s="1" t="s">
        <v>19</v>
      </c>
      <c r="M465" s="10">
        <f t="shared" si="63"/>
        <v>3638404.6788990824</v>
      </c>
      <c r="N465" s="10">
        <f t="shared" si="64"/>
        <v>1468837.4444444445</v>
      </c>
      <c r="O465" s="1">
        <f t="shared" si="65"/>
        <v>14</v>
      </c>
      <c r="P465" s="1">
        <f t="shared" si="66"/>
        <v>15</v>
      </c>
      <c r="Q465" s="1">
        <f t="shared" si="67"/>
        <v>-1</v>
      </c>
      <c r="R465" s="6">
        <f t="shared" si="68"/>
        <v>0.5</v>
      </c>
      <c r="S465" s="8">
        <f t="shared" si="69"/>
        <v>80.286492376266295</v>
      </c>
      <c r="T465" s="8">
        <f t="shared" si="70"/>
        <v>0.71350762373370458</v>
      </c>
      <c r="U465" t="str">
        <f t="shared" si="71"/>
        <v>Mid</v>
      </c>
    </row>
    <row r="466" spans="1:21">
      <c r="A466" s="1">
        <v>146</v>
      </c>
      <c r="B466" s="2">
        <v>2015</v>
      </c>
      <c r="C466" s="1" t="s">
        <v>33</v>
      </c>
      <c r="D466" s="1" t="s">
        <v>34</v>
      </c>
      <c r="E466" s="1" t="s">
        <v>26</v>
      </c>
      <c r="F466" s="1" t="s">
        <v>35</v>
      </c>
      <c r="G466" s="9">
        <v>118619177</v>
      </c>
      <c r="H466" s="1">
        <v>76</v>
      </c>
      <c r="I466" s="1">
        <v>86</v>
      </c>
      <c r="J466" s="5">
        <v>29.1</v>
      </c>
      <c r="K466" s="1" t="s">
        <v>19</v>
      </c>
      <c r="L466" s="1" t="s">
        <v>19</v>
      </c>
      <c r="M466" s="10">
        <f t="shared" si="63"/>
        <v>4076260.3780068727</v>
      </c>
      <c r="N466" s="10">
        <f t="shared" si="64"/>
        <v>1560778.644736842</v>
      </c>
      <c r="O466" s="1">
        <f t="shared" si="65"/>
        <v>15</v>
      </c>
      <c r="P466" s="1">
        <f t="shared" si="66"/>
        <v>20</v>
      </c>
      <c r="Q466" s="1">
        <f t="shared" si="67"/>
        <v>-5</v>
      </c>
      <c r="R466" s="6">
        <f t="shared" si="68"/>
        <v>0.46913580246913578</v>
      </c>
      <c r="S466" s="8">
        <f t="shared" si="69"/>
        <v>80.255354500919424</v>
      </c>
      <c r="T466" s="8">
        <f t="shared" si="70"/>
        <v>-4.2553545009194238</v>
      </c>
      <c r="U466" t="str">
        <f t="shared" si="71"/>
        <v>Mid</v>
      </c>
    </row>
    <row r="467" spans="1:21">
      <c r="A467" s="1">
        <v>172</v>
      </c>
      <c r="B467" s="2">
        <v>2015</v>
      </c>
      <c r="C467" s="1" t="s">
        <v>36</v>
      </c>
      <c r="D467" s="1" t="s">
        <v>37</v>
      </c>
      <c r="E467" s="1" t="s">
        <v>17</v>
      </c>
      <c r="F467" s="1" t="s">
        <v>32</v>
      </c>
      <c r="G467" s="9">
        <v>115373953</v>
      </c>
      <c r="H467" s="1">
        <v>64</v>
      </c>
      <c r="I467" s="1">
        <v>98</v>
      </c>
      <c r="J467" s="5">
        <v>21.5</v>
      </c>
      <c r="K467" s="1" t="s">
        <v>19</v>
      </c>
      <c r="L467" s="1" t="s">
        <v>19</v>
      </c>
      <c r="M467" s="10">
        <f t="shared" si="63"/>
        <v>5366230.3720930228</v>
      </c>
      <c r="N467" s="10">
        <f t="shared" si="64"/>
        <v>1802718.015625</v>
      </c>
      <c r="O467" s="1">
        <f t="shared" si="65"/>
        <v>16</v>
      </c>
      <c r="P467" s="1">
        <f t="shared" si="66"/>
        <v>29</v>
      </c>
      <c r="Q467" s="1">
        <f t="shared" si="67"/>
        <v>-13</v>
      </c>
      <c r="R467" s="6">
        <f t="shared" si="68"/>
        <v>0.39506172839506171</v>
      </c>
      <c r="S467" s="8">
        <f t="shared" si="69"/>
        <v>79.972030007893323</v>
      </c>
      <c r="T467" s="8">
        <f t="shared" si="70"/>
        <v>-15.972030007893323</v>
      </c>
      <c r="U467" t="str">
        <f t="shared" si="71"/>
        <v>Mid</v>
      </c>
    </row>
    <row r="468" spans="1:21">
      <c r="A468" s="1">
        <v>302</v>
      </c>
      <c r="B468" s="2">
        <v>2015</v>
      </c>
      <c r="C468" s="1" t="s">
        <v>47</v>
      </c>
      <c r="D468" s="1" t="s">
        <v>48</v>
      </c>
      <c r="E468" s="1" t="s">
        <v>26</v>
      </c>
      <c r="F468" s="1" t="s">
        <v>35</v>
      </c>
      <c r="G468" s="9">
        <v>112857025</v>
      </c>
      <c r="H468" s="1">
        <v>95</v>
      </c>
      <c r="I468" s="1">
        <v>67</v>
      </c>
      <c r="J468" s="5">
        <v>42.2</v>
      </c>
      <c r="K468" s="1" t="s">
        <v>20</v>
      </c>
      <c r="L468" s="1" t="s">
        <v>20</v>
      </c>
      <c r="M468" s="10">
        <f t="shared" si="63"/>
        <v>2674337.0853080568</v>
      </c>
      <c r="N468" s="10">
        <f t="shared" si="64"/>
        <v>1187968.6842105263</v>
      </c>
      <c r="O468" s="1">
        <f t="shared" si="65"/>
        <v>17</v>
      </c>
      <c r="P468" s="1">
        <f t="shared" si="66"/>
        <v>4</v>
      </c>
      <c r="Q468" s="1">
        <f t="shared" si="67"/>
        <v>13</v>
      </c>
      <c r="R468" s="6">
        <f t="shared" si="68"/>
        <v>0.5864197530864198</v>
      </c>
      <c r="S468" s="8">
        <f t="shared" si="69"/>
        <v>79.752289444658487</v>
      </c>
      <c r="T468" s="8">
        <f t="shared" si="70"/>
        <v>15.247710555341513</v>
      </c>
      <c r="U468" t="str">
        <f t="shared" si="71"/>
        <v>Mid</v>
      </c>
    </row>
    <row r="469" spans="1:21">
      <c r="A469" s="1">
        <v>588</v>
      </c>
      <c r="B469" s="2">
        <v>2015</v>
      </c>
      <c r="C469" s="1" t="s">
        <v>69</v>
      </c>
      <c r="D469" s="1" t="s">
        <v>70</v>
      </c>
      <c r="E469" s="1" t="s">
        <v>17</v>
      </c>
      <c r="F469" s="1" t="s">
        <v>18</v>
      </c>
      <c r="G469" s="9">
        <v>108387033</v>
      </c>
      <c r="H469" s="1">
        <v>74</v>
      </c>
      <c r="I469" s="1">
        <v>88</v>
      </c>
      <c r="J469" s="5">
        <v>25.2</v>
      </c>
      <c r="K469" s="1" t="s">
        <v>19</v>
      </c>
      <c r="L469" s="1" t="s">
        <v>19</v>
      </c>
      <c r="M469" s="10">
        <f t="shared" si="63"/>
        <v>4301072.7380952379</v>
      </c>
      <c r="N469" s="10">
        <f t="shared" si="64"/>
        <v>1464689.6351351351</v>
      </c>
      <c r="O469" s="1">
        <f t="shared" si="65"/>
        <v>18</v>
      </c>
      <c r="P469" s="1">
        <f t="shared" si="66"/>
        <v>22</v>
      </c>
      <c r="Q469" s="1">
        <f t="shared" si="67"/>
        <v>-4</v>
      </c>
      <c r="R469" s="6">
        <f t="shared" si="68"/>
        <v>0.4567901234567901</v>
      </c>
      <c r="S469" s="8">
        <f t="shared" si="69"/>
        <v>79.362036501493165</v>
      </c>
      <c r="T469" s="8">
        <f t="shared" si="70"/>
        <v>-5.362036501493165</v>
      </c>
      <c r="U469" t="str">
        <f t="shared" si="71"/>
        <v>Mid</v>
      </c>
    </row>
    <row r="470" spans="1:21">
      <c r="A470" s="1">
        <v>432</v>
      </c>
      <c r="B470" s="2">
        <v>2015</v>
      </c>
      <c r="C470" s="1" t="s">
        <v>57</v>
      </c>
      <c r="D470" s="1" t="s">
        <v>58</v>
      </c>
      <c r="E470" s="1" t="s">
        <v>26</v>
      </c>
      <c r="F470" s="1" t="s">
        <v>35</v>
      </c>
      <c r="G470" s="9">
        <v>108262500</v>
      </c>
      <c r="H470" s="1">
        <v>83</v>
      </c>
      <c r="I470" s="1">
        <v>79</v>
      </c>
      <c r="J470" s="5">
        <v>29.7</v>
      </c>
      <c r="K470" s="1" t="s">
        <v>19</v>
      </c>
      <c r="L470" s="1" t="s">
        <v>19</v>
      </c>
      <c r="M470" s="10">
        <f t="shared" si="63"/>
        <v>3645202.0202020202</v>
      </c>
      <c r="N470" s="10">
        <f t="shared" si="64"/>
        <v>1304367.469879518</v>
      </c>
      <c r="O470" s="1">
        <f t="shared" si="65"/>
        <v>19</v>
      </c>
      <c r="P470" s="1">
        <f t="shared" si="66"/>
        <v>13</v>
      </c>
      <c r="Q470" s="1">
        <f t="shared" si="67"/>
        <v>6</v>
      </c>
      <c r="R470" s="6">
        <f t="shared" si="68"/>
        <v>0.51234567901234573</v>
      </c>
      <c r="S470" s="8">
        <f t="shared" si="69"/>
        <v>79.351164139804098</v>
      </c>
      <c r="T470" s="8">
        <f t="shared" si="70"/>
        <v>3.6488358601959021</v>
      </c>
      <c r="U470" t="str">
        <f t="shared" si="71"/>
        <v>Mid</v>
      </c>
    </row>
    <row r="471" spans="1:21">
      <c r="A471" s="1">
        <v>406</v>
      </c>
      <c r="B471" s="2">
        <v>2015</v>
      </c>
      <c r="C471" s="1" t="s">
        <v>55</v>
      </c>
      <c r="D471" s="1" t="s">
        <v>56</v>
      </c>
      <c r="E471" s="1" t="s">
        <v>17</v>
      </c>
      <c r="F471" s="1" t="s">
        <v>32</v>
      </c>
      <c r="G471" s="9">
        <v>104237000</v>
      </c>
      <c r="H471" s="1">
        <v>68</v>
      </c>
      <c r="I471" s="1">
        <v>94</v>
      </c>
      <c r="J471" s="5">
        <v>24.5</v>
      </c>
      <c r="K471" s="1" t="s">
        <v>19</v>
      </c>
      <c r="L471" s="1" t="s">
        <v>19</v>
      </c>
      <c r="M471" s="10">
        <f t="shared" si="63"/>
        <v>4254571.4285714282</v>
      </c>
      <c r="N471" s="10">
        <f t="shared" si="64"/>
        <v>1532897.0588235294</v>
      </c>
      <c r="O471" s="1">
        <f t="shared" si="65"/>
        <v>20</v>
      </c>
      <c r="P471" s="1">
        <f t="shared" si="66"/>
        <v>25</v>
      </c>
      <c r="Q471" s="1">
        <f t="shared" si="67"/>
        <v>-5</v>
      </c>
      <c r="R471" s="6">
        <f t="shared" si="68"/>
        <v>0.41975308641975306</v>
      </c>
      <c r="S471" s="8">
        <f t="shared" si="69"/>
        <v>78.999717599695757</v>
      </c>
      <c r="T471" s="8">
        <f t="shared" si="70"/>
        <v>-10.999717599695757</v>
      </c>
      <c r="U471" t="str">
        <f t="shared" si="71"/>
        <v>Mid</v>
      </c>
    </row>
    <row r="472" spans="1:21">
      <c r="A472" s="1">
        <v>458</v>
      </c>
      <c r="B472" s="2">
        <v>2015</v>
      </c>
      <c r="C472" s="1" t="s">
        <v>59</v>
      </c>
      <c r="D472" s="1" t="s">
        <v>60</v>
      </c>
      <c r="E472" s="1" t="s">
        <v>17</v>
      </c>
      <c r="F472" s="1" t="s">
        <v>23</v>
      </c>
      <c r="G472" s="9">
        <v>101344283</v>
      </c>
      <c r="H472" s="1">
        <v>90</v>
      </c>
      <c r="I472" s="1">
        <v>72</v>
      </c>
      <c r="J472" s="5">
        <v>41.2</v>
      </c>
      <c r="K472" s="1" t="s">
        <v>20</v>
      </c>
      <c r="L472" s="1" t="s">
        <v>19</v>
      </c>
      <c r="M472" s="10">
        <f t="shared" si="63"/>
        <v>2459812.6941747572</v>
      </c>
      <c r="N472" s="10">
        <f t="shared" si="64"/>
        <v>1126047.5888888889</v>
      </c>
      <c r="O472" s="1">
        <f t="shared" si="65"/>
        <v>21</v>
      </c>
      <c r="P472" s="1">
        <f t="shared" si="66"/>
        <v>7</v>
      </c>
      <c r="Q472" s="1">
        <f t="shared" si="67"/>
        <v>14</v>
      </c>
      <c r="R472" s="6">
        <f t="shared" si="68"/>
        <v>0.55555555555555558</v>
      </c>
      <c r="S472" s="8">
        <f t="shared" si="69"/>
        <v>78.747168753300883</v>
      </c>
      <c r="T472" s="8">
        <f t="shared" si="70"/>
        <v>11.252831246699117</v>
      </c>
      <c r="U472" t="str">
        <f t="shared" si="71"/>
        <v>Mid</v>
      </c>
    </row>
    <row r="473" spans="1:21">
      <c r="A473" s="1">
        <v>42</v>
      </c>
      <c r="B473" s="2">
        <v>2015</v>
      </c>
      <c r="C473" s="1" t="s">
        <v>21</v>
      </c>
      <c r="D473" s="1" t="s">
        <v>22</v>
      </c>
      <c r="E473" s="1" t="s">
        <v>17</v>
      </c>
      <c r="F473" s="1" t="s">
        <v>23</v>
      </c>
      <c r="G473" s="9">
        <v>97443604</v>
      </c>
      <c r="H473" s="1">
        <v>67</v>
      </c>
      <c r="I473" s="1">
        <v>95</v>
      </c>
      <c r="J473" s="5">
        <v>19.8</v>
      </c>
      <c r="K473" s="1" t="s">
        <v>19</v>
      </c>
      <c r="L473" s="1" t="s">
        <v>19</v>
      </c>
      <c r="M473" s="10">
        <f t="shared" si="63"/>
        <v>4921394.1414141413</v>
      </c>
      <c r="N473" s="10">
        <f t="shared" si="64"/>
        <v>1454382.1492537314</v>
      </c>
      <c r="O473" s="1">
        <f t="shared" si="65"/>
        <v>22</v>
      </c>
      <c r="P473" s="1">
        <f t="shared" si="66"/>
        <v>28</v>
      </c>
      <c r="Q473" s="1">
        <f t="shared" si="67"/>
        <v>-6</v>
      </c>
      <c r="R473" s="6">
        <f t="shared" si="68"/>
        <v>0.41358024691358025</v>
      </c>
      <c r="S473" s="8">
        <f t="shared" si="69"/>
        <v>78.406619718740373</v>
      </c>
      <c r="T473" s="8">
        <f t="shared" si="70"/>
        <v>-11.406619718740373</v>
      </c>
      <c r="U473" t="str">
        <f t="shared" si="71"/>
        <v>Mid</v>
      </c>
    </row>
    <row r="474" spans="1:21">
      <c r="A474" s="1">
        <v>224</v>
      </c>
      <c r="B474" s="2">
        <v>2015</v>
      </c>
      <c r="C474" s="1" t="s">
        <v>40</v>
      </c>
      <c r="D474" s="1" t="s">
        <v>41</v>
      </c>
      <c r="E474" s="1" t="s">
        <v>17</v>
      </c>
      <c r="F474" s="1" t="s">
        <v>18</v>
      </c>
      <c r="G474" s="9">
        <v>97069630</v>
      </c>
      <c r="H474" s="1">
        <v>68</v>
      </c>
      <c r="I474" s="1">
        <v>94</v>
      </c>
      <c r="J474" s="5">
        <v>26.4</v>
      </c>
      <c r="K474" s="1" t="s">
        <v>19</v>
      </c>
      <c r="L474" s="1" t="s">
        <v>19</v>
      </c>
      <c r="M474" s="10">
        <f t="shared" si="63"/>
        <v>3676879.9242424243</v>
      </c>
      <c r="N474" s="10">
        <f t="shared" si="64"/>
        <v>1427494.5588235294</v>
      </c>
      <c r="O474" s="1">
        <f t="shared" si="65"/>
        <v>23</v>
      </c>
      <c r="P474" s="1">
        <f t="shared" si="66"/>
        <v>25</v>
      </c>
      <c r="Q474" s="1">
        <f t="shared" si="67"/>
        <v>-2</v>
      </c>
      <c r="R474" s="6">
        <f t="shared" si="68"/>
        <v>0.41975308641975306</v>
      </c>
      <c r="S474" s="8">
        <f t="shared" si="69"/>
        <v>78.373969894273728</v>
      </c>
      <c r="T474" s="8">
        <f t="shared" si="70"/>
        <v>-10.373969894273728</v>
      </c>
      <c r="U474" t="str">
        <f t="shared" si="71"/>
        <v>Mid</v>
      </c>
    </row>
    <row r="475" spans="1:21">
      <c r="A475" s="1">
        <v>562</v>
      </c>
      <c r="B475" s="2">
        <v>2015</v>
      </c>
      <c r="C475" s="1" t="s">
        <v>67</v>
      </c>
      <c r="D475" s="1" t="s">
        <v>68</v>
      </c>
      <c r="E475" s="1" t="s">
        <v>17</v>
      </c>
      <c r="F475" s="1" t="s">
        <v>32</v>
      </c>
      <c r="G475" s="9">
        <v>90303000</v>
      </c>
      <c r="H475" s="1">
        <v>98</v>
      </c>
      <c r="I475" s="1">
        <v>64</v>
      </c>
      <c r="J475" s="5">
        <v>47.6</v>
      </c>
      <c r="K475" s="1" t="s">
        <v>20</v>
      </c>
      <c r="L475" s="1" t="s">
        <v>19</v>
      </c>
      <c r="M475" s="10">
        <f t="shared" si="63"/>
        <v>1897121.8487394957</v>
      </c>
      <c r="N475" s="10">
        <f t="shared" si="64"/>
        <v>921459.18367346935</v>
      </c>
      <c r="O475" s="1">
        <f t="shared" si="65"/>
        <v>24</v>
      </c>
      <c r="P475" s="1">
        <f t="shared" si="66"/>
        <v>2</v>
      </c>
      <c r="Q475" s="1">
        <f t="shared" si="67"/>
        <v>22</v>
      </c>
      <c r="R475" s="6">
        <f t="shared" si="68"/>
        <v>0.60493827160493829</v>
      </c>
      <c r="S475" s="8">
        <f t="shared" si="69"/>
        <v>77.783208820694469</v>
      </c>
      <c r="T475" s="8">
        <f t="shared" si="70"/>
        <v>20.216791179305531</v>
      </c>
      <c r="U475" t="str">
        <f t="shared" si="71"/>
        <v>Mid</v>
      </c>
    </row>
    <row r="476" spans="1:21">
      <c r="A476" s="1">
        <v>16</v>
      </c>
      <c r="B476" s="2">
        <v>2015</v>
      </c>
      <c r="C476" s="1" t="s">
        <v>15</v>
      </c>
      <c r="D476" s="1" t="s">
        <v>16</v>
      </c>
      <c r="E476" s="1" t="s">
        <v>17</v>
      </c>
      <c r="F476" s="1" t="s">
        <v>18</v>
      </c>
      <c r="G476" s="9">
        <v>88187000</v>
      </c>
      <c r="H476" s="1">
        <v>79</v>
      </c>
      <c r="I476" s="1">
        <v>83</v>
      </c>
      <c r="J476" s="5">
        <v>43.1</v>
      </c>
      <c r="K476" s="1" t="s">
        <v>19</v>
      </c>
      <c r="L476" s="1" t="s">
        <v>19</v>
      </c>
      <c r="M476" s="10">
        <f t="shared" si="63"/>
        <v>2046102.0881670532</v>
      </c>
      <c r="N476" s="10">
        <f t="shared" si="64"/>
        <v>1116291.1392405063</v>
      </c>
      <c r="O476" s="1">
        <f t="shared" si="65"/>
        <v>25</v>
      </c>
      <c r="P476" s="1">
        <f t="shared" si="66"/>
        <v>18</v>
      </c>
      <c r="Q476" s="1">
        <f t="shared" si="67"/>
        <v>7</v>
      </c>
      <c r="R476" s="6">
        <f t="shared" si="68"/>
        <v>0.48765432098765432</v>
      </c>
      <c r="S476" s="8">
        <f t="shared" si="69"/>
        <v>77.598471302654659</v>
      </c>
      <c r="T476" s="8">
        <f t="shared" si="70"/>
        <v>1.4015286973453414</v>
      </c>
      <c r="U476" t="str">
        <f t="shared" si="71"/>
        <v>Mid</v>
      </c>
    </row>
    <row r="477" spans="1:21">
      <c r="A477" s="1">
        <v>198</v>
      </c>
      <c r="B477" s="2">
        <v>2015</v>
      </c>
      <c r="C477" s="1" t="s">
        <v>38</v>
      </c>
      <c r="D477" s="1" t="s">
        <v>39</v>
      </c>
      <c r="E477" s="1" t="s">
        <v>26</v>
      </c>
      <c r="F477" s="1" t="s">
        <v>35</v>
      </c>
      <c r="G477" s="9">
        <v>87997101</v>
      </c>
      <c r="H477" s="1">
        <v>81</v>
      </c>
      <c r="I477" s="1">
        <v>80</v>
      </c>
      <c r="J477" s="5">
        <v>44.9</v>
      </c>
      <c r="K477" s="1" t="s">
        <v>19</v>
      </c>
      <c r="L477" s="1" t="s">
        <v>19</v>
      </c>
      <c r="M477" s="10">
        <f t="shared" si="63"/>
        <v>1959846.3474387529</v>
      </c>
      <c r="N477" s="10">
        <f t="shared" si="64"/>
        <v>1086383.9629629629</v>
      </c>
      <c r="O477" s="1">
        <f t="shared" si="65"/>
        <v>26</v>
      </c>
      <c r="P477" s="1">
        <f t="shared" si="66"/>
        <v>15</v>
      </c>
      <c r="Q477" s="1">
        <f t="shared" si="67"/>
        <v>11</v>
      </c>
      <c r="R477" s="6">
        <f t="shared" si="68"/>
        <v>0.50310559006211175</v>
      </c>
      <c r="S477" s="8">
        <f t="shared" si="69"/>
        <v>77.581892158071369</v>
      </c>
      <c r="T477" s="8">
        <f t="shared" si="70"/>
        <v>3.4181078419286308</v>
      </c>
      <c r="U477" t="str">
        <f t="shared" si="71"/>
        <v>Mid</v>
      </c>
    </row>
    <row r="478" spans="1:21">
      <c r="A478" s="1">
        <v>510</v>
      </c>
      <c r="B478" s="2">
        <v>2015</v>
      </c>
      <c r="C478" s="1" t="s">
        <v>63</v>
      </c>
      <c r="D478" s="1" t="s">
        <v>64</v>
      </c>
      <c r="E478" s="1" t="s">
        <v>26</v>
      </c>
      <c r="F478" s="1" t="s">
        <v>46</v>
      </c>
      <c r="G478" s="9">
        <v>82389167</v>
      </c>
      <c r="H478" s="1">
        <v>68</v>
      </c>
      <c r="I478" s="1">
        <v>94</v>
      </c>
      <c r="J478" s="5">
        <v>31.3</v>
      </c>
      <c r="K478" s="1" t="s">
        <v>19</v>
      </c>
      <c r="L478" s="1" t="s">
        <v>19</v>
      </c>
      <c r="M478" s="10">
        <f t="shared" si="63"/>
        <v>2632241.7571884985</v>
      </c>
      <c r="N478" s="10">
        <f t="shared" si="64"/>
        <v>1211605.3970588236</v>
      </c>
      <c r="O478" s="1">
        <f t="shared" si="65"/>
        <v>27</v>
      </c>
      <c r="P478" s="1">
        <f t="shared" si="66"/>
        <v>25</v>
      </c>
      <c r="Q478" s="1">
        <f t="shared" si="67"/>
        <v>2</v>
      </c>
      <c r="R478" s="6">
        <f t="shared" si="68"/>
        <v>0.41975308641975306</v>
      </c>
      <c r="S478" s="8">
        <f t="shared" si="69"/>
        <v>77.092291114361032</v>
      </c>
      <c r="T478" s="8">
        <f t="shared" si="70"/>
        <v>-9.0922911143610321</v>
      </c>
      <c r="U478" t="str">
        <f t="shared" si="71"/>
        <v>Mid</v>
      </c>
    </row>
    <row r="479" spans="1:21">
      <c r="A479" s="1">
        <v>692</v>
      </c>
      <c r="B479" s="2">
        <v>2015</v>
      </c>
      <c r="C479" s="1" t="s">
        <v>77</v>
      </c>
      <c r="D479" s="1" t="s">
        <v>78</v>
      </c>
      <c r="E479" s="1" t="s">
        <v>26</v>
      </c>
      <c r="F479" s="1" t="s">
        <v>27</v>
      </c>
      <c r="G479" s="9">
        <v>77294234</v>
      </c>
      <c r="H479" s="1">
        <v>80</v>
      </c>
      <c r="I479" s="1">
        <v>82</v>
      </c>
      <c r="J479" s="5">
        <v>42.5</v>
      </c>
      <c r="K479" s="1" t="s">
        <v>19</v>
      </c>
      <c r="L479" s="1" t="s">
        <v>19</v>
      </c>
      <c r="M479" s="10">
        <f t="shared" si="63"/>
        <v>1818687.8588235294</v>
      </c>
      <c r="N479" s="10">
        <f t="shared" si="64"/>
        <v>966177.92500000005</v>
      </c>
      <c r="O479" s="1">
        <f t="shared" si="65"/>
        <v>28</v>
      </c>
      <c r="P479" s="1">
        <f t="shared" si="66"/>
        <v>17</v>
      </c>
      <c r="Q479" s="1">
        <f t="shared" si="67"/>
        <v>11</v>
      </c>
      <c r="R479" s="6">
        <f t="shared" si="68"/>
        <v>0.49382716049382713</v>
      </c>
      <c r="S479" s="8">
        <f t="shared" si="69"/>
        <v>76.647477656421927</v>
      </c>
      <c r="T479" s="8">
        <f t="shared" si="70"/>
        <v>3.3525223435780731</v>
      </c>
      <c r="U479" t="str">
        <f t="shared" si="71"/>
        <v>Low</v>
      </c>
    </row>
    <row r="480" spans="1:21">
      <c r="A480" s="1">
        <v>276</v>
      </c>
      <c r="B480" s="2">
        <v>2015</v>
      </c>
      <c r="C480" s="1" t="s">
        <v>44</v>
      </c>
      <c r="D480" s="1" t="s">
        <v>45</v>
      </c>
      <c r="E480" s="1" t="s">
        <v>26</v>
      </c>
      <c r="F480" s="1" t="s">
        <v>46</v>
      </c>
      <c r="G480" s="9">
        <v>72464200</v>
      </c>
      <c r="H480" s="1">
        <v>86</v>
      </c>
      <c r="I480" s="1">
        <v>76</v>
      </c>
      <c r="J480" s="5">
        <v>48.7</v>
      </c>
      <c r="K480" s="1" t="s">
        <v>20</v>
      </c>
      <c r="L480" s="1" t="s">
        <v>19</v>
      </c>
      <c r="M480" s="10">
        <f t="shared" si="63"/>
        <v>1487971.252566735</v>
      </c>
      <c r="N480" s="10">
        <f t="shared" si="64"/>
        <v>842606.97674418602</v>
      </c>
      <c r="O480" s="1">
        <f t="shared" si="65"/>
        <v>29</v>
      </c>
      <c r="P480" s="1">
        <f t="shared" si="66"/>
        <v>10</v>
      </c>
      <c r="Q480" s="1">
        <f t="shared" si="67"/>
        <v>19</v>
      </c>
      <c r="R480" s="6">
        <f t="shared" si="68"/>
        <v>0.53086419753086422</v>
      </c>
      <c r="S480" s="8">
        <f t="shared" si="69"/>
        <v>76.225791222958833</v>
      </c>
      <c r="T480" s="8">
        <f t="shared" si="70"/>
        <v>9.7742087770411672</v>
      </c>
      <c r="U480" t="str">
        <f t="shared" si="71"/>
        <v>Low</v>
      </c>
    </row>
    <row r="481" spans="1:21">
      <c r="A481" s="1">
        <v>380</v>
      </c>
      <c r="B481" s="2">
        <v>2015</v>
      </c>
      <c r="C481" s="1" t="s">
        <v>53</v>
      </c>
      <c r="D481" s="1" t="s">
        <v>54</v>
      </c>
      <c r="E481" s="1" t="s">
        <v>17</v>
      </c>
      <c r="F481" s="1" t="s">
        <v>23</v>
      </c>
      <c r="G481" s="9">
        <v>69031500</v>
      </c>
      <c r="H481" s="1">
        <v>71</v>
      </c>
      <c r="I481" s="1">
        <v>91</v>
      </c>
      <c r="J481" s="5">
        <v>23.1</v>
      </c>
      <c r="K481" s="1" t="s">
        <v>19</v>
      </c>
      <c r="L481" s="1" t="s">
        <v>19</v>
      </c>
      <c r="M481" s="10">
        <f t="shared" si="63"/>
        <v>2988376.6233766233</v>
      </c>
      <c r="N481" s="10">
        <f t="shared" si="64"/>
        <v>972274.64788732398</v>
      </c>
      <c r="O481" s="1">
        <f t="shared" si="65"/>
        <v>30</v>
      </c>
      <c r="P481" s="1">
        <f t="shared" si="66"/>
        <v>24</v>
      </c>
      <c r="Q481" s="1">
        <f t="shared" si="67"/>
        <v>6</v>
      </c>
      <c r="R481" s="6">
        <f t="shared" si="68"/>
        <v>0.43827160493827161</v>
      </c>
      <c r="S481" s="8">
        <f t="shared" si="69"/>
        <v>75.926099125522512</v>
      </c>
      <c r="T481" s="8">
        <f t="shared" si="70"/>
        <v>-4.9260991255225122</v>
      </c>
      <c r="U481" t="str">
        <f t="shared" si="71"/>
        <v>Low</v>
      </c>
    </row>
    <row r="482" spans="1:21">
      <c r="A482" s="1">
        <v>355</v>
      </c>
      <c r="B482" s="2">
        <v>2016</v>
      </c>
      <c r="C482" s="1" t="s">
        <v>51</v>
      </c>
      <c r="D482" s="1" t="s">
        <v>52</v>
      </c>
      <c r="E482" s="1" t="s">
        <v>17</v>
      </c>
      <c r="F482" s="1" t="s">
        <v>18</v>
      </c>
      <c r="G482" s="9">
        <v>233932402</v>
      </c>
      <c r="H482" s="1">
        <v>91</v>
      </c>
      <c r="I482" s="1">
        <v>71</v>
      </c>
      <c r="J482" s="5">
        <v>44.9</v>
      </c>
      <c r="K482" s="1" t="s">
        <v>20</v>
      </c>
      <c r="L482" s="1" t="s">
        <v>19</v>
      </c>
      <c r="M482" s="10">
        <f t="shared" si="63"/>
        <v>5210075.7683741646</v>
      </c>
      <c r="N482" s="10">
        <f t="shared" si="64"/>
        <v>2570685.7362637362</v>
      </c>
      <c r="O482" s="1">
        <f t="shared" si="65"/>
        <v>1</v>
      </c>
      <c r="P482" s="1">
        <f t="shared" si="66"/>
        <v>6</v>
      </c>
      <c r="Q482" s="1">
        <f t="shared" si="67"/>
        <v>-5</v>
      </c>
      <c r="R482" s="6">
        <f t="shared" si="68"/>
        <v>0.56172839506172845</v>
      </c>
      <c r="S482" s="8">
        <f t="shared" si="69"/>
        <v>90.322783132141709</v>
      </c>
      <c r="T482" s="8">
        <f t="shared" si="70"/>
        <v>0.67721686785829149</v>
      </c>
      <c r="U482" t="str">
        <f t="shared" si="71"/>
        <v>High</v>
      </c>
    </row>
    <row r="483" spans="1:21">
      <c r="A483" s="1">
        <v>485</v>
      </c>
      <c r="B483" s="2">
        <v>2016</v>
      </c>
      <c r="C483" s="1" t="s">
        <v>61</v>
      </c>
      <c r="D483" s="1" t="s">
        <v>62</v>
      </c>
      <c r="E483" s="1" t="s">
        <v>26</v>
      </c>
      <c r="F483" s="1" t="s">
        <v>27</v>
      </c>
      <c r="G483" s="9">
        <v>213472857</v>
      </c>
      <c r="H483" s="1">
        <v>84</v>
      </c>
      <c r="I483" s="1">
        <v>78</v>
      </c>
      <c r="J483" s="5">
        <v>35.200000000000003</v>
      </c>
      <c r="K483" s="1" t="s">
        <v>19</v>
      </c>
      <c r="L483" s="1" t="s">
        <v>19</v>
      </c>
      <c r="M483" s="10">
        <f t="shared" si="63"/>
        <v>6064569.8011363633</v>
      </c>
      <c r="N483" s="10">
        <f t="shared" si="64"/>
        <v>2541343.5357142859</v>
      </c>
      <c r="O483" s="1">
        <f t="shared" si="65"/>
        <v>2</v>
      </c>
      <c r="P483" s="1">
        <f t="shared" si="66"/>
        <v>14</v>
      </c>
      <c r="Q483" s="1">
        <f t="shared" si="67"/>
        <v>-12</v>
      </c>
      <c r="R483" s="6">
        <f t="shared" si="68"/>
        <v>0.51851851851851849</v>
      </c>
      <c r="S483" s="8">
        <f t="shared" si="69"/>
        <v>88.536561221213617</v>
      </c>
      <c r="T483" s="8">
        <f t="shared" si="70"/>
        <v>-4.536561221213617</v>
      </c>
      <c r="U483" t="str">
        <f t="shared" si="71"/>
        <v>High</v>
      </c>
    </row>
    <row r="484" spans="1:21">
      <c r="A484" s="1">
        <v>95</v>
      </c>
      <c r="B484" s="2">
        <v>2016</v>
      </c>
      <c r="C484" s="1" t="s">
        <v>28</v>
      </c>
      <c r="D484" s="1" t="s">
        <v>29</v>
      </c>
      <c r="E484" s="1" t="s">
        <v>26</v>
      </c>
      <c r="F484" s="1" t="s">
        <v>27</v>
      </c>
      <c r="G484" s="9">
        <v>182161414</v>
      </c>
      <c r="H484" s="1">
        <v>93</v>
      </c>
      <c r="I484" s="1">
        <v>69</v>
      </c>
      <c r="J484" s="5">
        <v>48.7</v>
      </c>
      <c r="K484" s="1" t="s">
        <v>20</v>
      </c>
      <c r="L484" s="1" t="s">
        <v>19</v>
      </c>
      <c r="M484" s="10">
        <f t="shared" si="63"/>
        <v>3740480.7802874739</v>
      </c>
      <c r="N484" s="10">
        <f t="shared" si="64"/>
        <v>1958724.8817204302</v>
      </c>
      <c r="O484" s="1">
        <f t="shared" si="65"/>
        <v>3</v>
      </c>
      <c r="P484" s="1">
        <f t="shared" si="66"/>
        <v>5</v>
      </c>
      <c r="Q484" s="1">
        <f t="shared" si="67"/>
        <v>-2</v>
      </c>
      <c r="R484" s="6">
        <f t="shared" si="68"/>
        <v>0.57407407407407407</v>
      </c>
      <c r="S484" s="8">
        <f t="shared" si="69"/>
        <v>85.802913647458865</v>
      </c>
      <c r="T484" s="8">
        <f t="shared" si="70"/>
        <v>7.1970863525411346</v>
      </c>
      <c r="U484" t="str">
        <f t="shared" si="71"/>
        <v>High</v>
      </c>
    </row>
    <row r="485" spans="1:21">
      <c r="A485" s="1">
        <v>251</v>
      </c>
      <c r="B485" s="2">
        <v>2016</v>
      </c>
      <c r="C485" s="1" t="s">
        <v>42</v>
      </c>
      <c r="D485" s="1" t="s">
        <v>43</v>
      </c>
      <c r="E485" s="1" t="s">
        <v>26</v>
      </c>
      <c r="F485" s="1" t="s">
        <v>35</v>
      </c>
      <c r="G485" s="9">
        <v>172282250</v>
      </c>
      <c r="H485" s="1">
        <v>86</v>
      </c>
      <c r="I485" s="1">
        <v>75</v>
      </c>
      <c r="J485" s="5">
        <v>39.5</v>
      </c>
      <c r="K485" s="1" t="s">
        <v>19</v>
      </c>
      <c r="L485" s="1" t="s">
        <v>19</v>
      </c>
      <c r="M485" s="10">
        <f t="shared" si="63"/>
        <v>4361575.9493670883</v>
      </c>
      <c r="N485" s="10">
        <f t="shared" si="64"/>
        <v>2003281.9767441861</v>
      </c>
      <c r="O485" s="1">
        <f t="shared" si="65"/>
        <v>4</v>
      </c>
      <c r="P485" s="1">
        <f t="shared" si="66"/>
        <v>11</v>
      </c>
      <c r="Q485" s="1">
        <f t="shared" si="67"/>
        <v>-7</v>
      </c>
      <c r="R485" s="6">
        <f t="shared" si="68"/>
        <v>0.53416149068322982</v>
      </c>
      <c r="S485" s="8">
        <f t="shared" si="69"/>
        <v>84.940412589959692</v>
      </c>
      <c r="T485" s="8">
        <f t="shared" si="70"/>
        <v>1.059587410040308</v>
      </c>
      <c r="U485" t="str">
        <f t="shared" si="71"/>
        <v>High</v>
      </c>
    </row>
    <row r="486" spans="1:21">
      <c r="A486" s="1">
        <v>615</v>
      </c>
      <c r="B486" s="2">
        <v>2016</v>
      </c>
      <c r="C486" s="1" t="s">
        <v>71</v>
      </c>
      <c r="D486" s="1" t="s">
        <v>72</v>
      </c>
      <c r="E486" s="1" t="s">
        <v>17</v>
      </c>
      <c r="F486" s="1" t="s">
        <v>18</v>
      </c>
      <c r="G486" s="9">
        <v>166495942</v>
      </c>
      <c r="H486" s="1">
        <v>87</v>
      </c>
      <c r="I486" s="1">
        <v>75</v>
      </c>
      <c r="J486" s="5">
        <v>44.6</v>
      </c>
      <c r="K486" s="1" t="s">
        <v>20</v>
      </c>
      <c r="L486" s="1" t="s">
        <v>19</v>
      </c>
      <c r="M486" s="10">
        <f t="shared" si="63"/>
        <v>3733092.8699551569</v>
      </c>
      <c r="N486" s="10">
        <f t="shared" si="64"/>
        <v>1913746.4597701149</v>
      </c>
      <c r="O486" s="1">
        <f t="shared" si="65"/>
        <v>5</v>
      </c>
      <c r="P486" s="1">
        <f t="shared" si="66"/>
        <v>9</v>
      </c>
      <c r="Q486" s="1">
        <f t="shared" si="67"/>
        <v>-4</v>
      </c>
      <c r="R486" s="6">
        <f t="shared" si="68"/>
        <v>0.53703703703703709</v>
      </c>
      <c r="S486" s="8">
        <f t="shared" si="69"/>
        <v>84.435238592542916</v>
      </c>
      <c r="T486" s="8">
        <f t="shared" si="70"/>
        <v>2.5647614074570839</v>
      </c>
      <c r="U486" t="str">
        <f t="shared" si="71"/>
        <v>High</v>
      </c>
    </row>
    <row r="487" spans="1:21">
      <c r="A487" s="1">
        <v>329</v>
      </c>
      <c r="B487" s="2">
        <v>2016</v>
      </c>
      <c r="C487" s="1" t="s">
        <v>49</v>
      </c>
      <c r="D487" s="1" t="s">
        <v>50</v>
      </c>
      <c r="E487" s="1" t="s">
        <v>26</v>
      </c>
      <c r="F487" s="1" t="s">
        <v>46</v>
      </c>
      <c r="G487" s="9">
        <v>164449583</v>
      </c>
      <c r="H487" s="1">
        <v>74</v>
      </c>
      <c r="I487" s="1">
        <v>88</v>
      </c>
      <c r="J487" s="5">
        <v>31.3</v>
      </c>
      <c r="K487" s="1" t="s">
        <v>19</v>
      </c>
      <c r="L487" s="1" t="s">
        <v>19</v>
      </c>
      <c r="M487" s="10">
        <f t="shared" si="63"/>
        <v>5253980.2875399357</v>
      </c>
      <c r="N487" s="10">
        <f t="shared" si="64"/>
        <v>2222291.6621621624</v>
      </c>
      <c r="O487" s="1">
        <f t="shared" si="65"/>
        <v>6</v>
      </c>
      <c r="P487" s="1">
        <f t="shared" si="66"/>
        <v>21</v>
      </c>
      <c r="Q487" s="1">
        <f t="shared" si="67"/>
        <v>-15</v>
      </c>
      <c r="R487" s="6">
        <f t="shared" si="68"/>
        <v>0.4567901234567901</v>
      </c>
      <c r="S487" s="8">
        <f t="shared" si="69"/>
        <v>84.256581086551222</v>
      </c>
      <c r="T487" s="8">
        <f t="shared" si="70"/>
        <v>-10.256581086551222</v>
      </c>
      <c r="U487" t="str">
        <f t="shared" si="71"/>
        <v>High</v>
      </c>
    </row>
    <row r="488" spans="1:21">
      <c r="A488" s="1">
        <v>69</v>
      </c>
      <c r="B488" s="2">
        <v>2016</v>
      </c>
      <c r="C488" s="1" t="s">
        <v>24</v>
      </c>
      <c r="D488" s="1" t="s">
        <v>25</v>
      </c>
      <c r="E488" s="1" t="s">
        <v>26</v>
      </c>
      <c r="F488" s="1" t="s">
        <v>27</v>
      </c>
      <c r="G488" s="9">
        <v>147682632</v>
      </c>
      <c r="H488" s="1">
        <v>89</v>
      </c>
      <c r="I488" s="1">
        <v>73</v>
      </c>
      <c r="J488" s="5">
        <v>33.9</v>
      </c>
      <c r="K488" s="1" t="s">
        <v>20</v>
      </c>
      <c r="L488" s="1" t="s">
        <v>19</v>
      </c>
      <c r="M488" s="10">
        <f t="shared" si="63"/>
        <v>4356419.8230088493</v>
      </c>
      <c r="N488" s="10">
        <f t="shared" si="64"/>
        <v>1659355.4157303371</v>
      </c>
      <c r="O488" s="1">
        <f t="shared" si="65"/>
        <v>7</v>
      </c>
      <c r="P488" s="1">
        <f t="shared" si="66"/>
        <v>7</v>
      </c>
      <c r="Q488" s="1">
        <f t="shared" si="67"/>
        <v>0</v>
      </c>
      <c r="R488" s="6">
        <f t="shared" si="68"/>
        <v>0.54938271604938271</v>
      </c>
      <c r="S488" s="8">
        <f t="shared" si="69"/>
        <v>82.792741335683957</v>
      </c>
      <c r="T488" s="8">
        <f t="shared" si="70"/>
        <v>6.2072586643160435</v>
      </c>
      <c r="U488" t="str">
        <f t="shared" si="71"/>
        <v>Mid</v>
      </c>
    </row>
    <row r="489" spans="1:21">
      <c r="A489" s="1">
        <v>771</v>
      </c>
      <c r="B489" s="2">
        <v>2016</v>
      </c>
      <c r="C489" s="1" t="s">
        <v>83</v>
      </c>
      <c r="D489" s="1" t="s">
        <v>84</v>
      </c>
      <c r="E489" s="1" t="s">
        <v>17</v>
      </c>
      <c r="F489" s="1" t="s">
        <v>23</v>
      </c>
      <c r="G489" s="9">
        <v>144510977</v>
      </c>
      <c r="H489" s="1">
        <v>95</v>
      </c>
      <c r="I489" s="1">
        <v>67</v>
      </c>
      <c r="J489" s="5">
        <v>52.2</v>
      </c>
      <c r="K489" s="1" t="s">
        <v>20</v>
      </c>
      <c r="L489" s="1" t="s">
        <v>19</v>
      </c>
      <c r="M489" s="10">
        <f t="shared" si="63"/>
        <v>2768409.521072797</v>
      </c>
      <c r="N489" s="10">
        <f t="shared" si="64"/>
        <v>1521168.1789473684</v>
      </c>
      <c r="O489" s="1">
        <f t="shared" si="65"/>
        <v>8</v>
      </c>
      <c r="P489" s="1">
        <f t="shared" si="66"/>
        <v>2</v>
      </c>
      <c r="Q489" s="1">
        <f t="shared" si="67"/>
        <v>6</v>
      </c>
      <c r="R489" s="6">
        <f t="shared" si="68"/>
        <v>0.5864197530864198</v>
      </c>
      <c r="S489" s="8">
        <f t="shared" si="69"/>
        <v>82.515839789002214</v>
      </c>
      <c r="T489" s="8">
        <f t="shared" si="70"/>
        <v>12.484160210997786</v>
      </c>
      <c r="U489" t="str">
        <f t="shared" si="71"/>
        <v>Mid</v>
      </c>
    </row>
    <row r="490" spans="1:21">
      <c r="A490" s="1">
        <v>719</v>
      </c>
      <c r="B490" s="2">
        <v>2016</v>
      </c>
      <c r="C490" s="1" t="s">
        <v>79</v>
      </c>
      <c r="D490" s="1" t="s">
        <v>80</v>
      </c>
      <c r="E490" s="1" t="s">
        <v>26</v>
      </c>
      <c r="F490" s="1" t="s">
        <v>46</v>
      </c>
      <c r="G490" s="9">
        <v>144307373</v>
      </c>
      <c r="H490" s="1">
        <v>95</v>
      </c>
      <c r="I490" s="1">
        <v>67</v>
      </c>
      <c r="J490" s="5">
        <v>38.6</v>
      </c>
      <c r="K490" s="1" t="s">
        <v>20</v>
      </c>
      <c r="L490" s="1" t="s">
        <v>19</v>
      </c>
      <c r="M490" s="10">
        <f t="shared" si="63"/>
        <v>3738532.9792746115</v>
      </c>
      <c r="N490" s="10">
        <f t="shared" si="64"/>
        <v>1519024.9789473685</v>
      </c>
      <c r="O490" s="1">
        <f t="shared" si="65"/>
        <v>9</v>
      </c>
      <c r="P490" s="1">
        <f t="shared" si="66"/>
        <v>2</v>
      </c>
      <c r="Q490" s="1">
        <f t="shared" si="67"/>
        <v>7</v>
      </c>
      <c r="R490" s="6">
        <f t="shared" si="68"/>
        <v>0.5864197530864198</v>
      </c>
      <c r="S490" s="8">
        <f t="shared" si="69"/>
        <v>82.498064128499863</v>
      </c>
      <c r="T490" s="8">
        <f t="shared" si="70"/>
        <v>12.501935871500137</v>
      </c>
      <c r="U490" t="str">
        <f t="shared" si="71"/>
        <v>Mid</v>
      </c>
    </row>
    <row r="491" spans="1:21">
      <c r="A491" s="1">
        <v>641</v>
      </c>
      <c r="B491" s="2">
        <v>2016</v>
      </c>
      <c r="C491" s="1" t="s">
        <v>73</v>
      </c>
      <c r="D491" s="1" t="s">
        <v>74</v>
      </c>
      <c r="E491" s="1" t="s">
        <v>26</v>
      </c>
      <c r="F491" s="1" t="s">
        <v>46</v>
      </c>
      <c r="G491" s="9">
        <v>142706842</v>
      </c>
      <c r="H491" s="1">
        <v>86</v>
      </c>
      <c r="I491" s="1">
        <v>76</v>
      </c>
      <c r="J491" s="5">
        <v>43.7</v>
      </c>
      <c r="K491" s="1" t="s">
        <v>19</v>
      </c>
      <c r="L491" s="1" t="s">
        <v>19</v>
      </c>
      <c r="M491" s="10">
        <f t="shared" si="63"/>
        <v>3265602.7917620135</v>
      </c>
      <c r="N491" s="10">
        <f t="shared" si="64"/>
        <v>1659381.8837209302</v>
      </c>
      <c r="O491" s="1">
        <f t="shared" si="65"/>
        <v>10</v>
      </c>
      <c r="P491" s="1">
        <f t="shared" si="66"/>
        <v>11</v>
      </c>
      <c r="Q491" s="1">
        <f t="shared" si="67"/>
        <v>-1</v>
      </c>
      <c r="R491" s="6">
        <f t="shared" si="68"/>
        <v>0.53086419753086422</v>
      </c>
      <c r="S491" s="8">
        <f t="shared" si="69"/>
        <v>82.358329665132288</v>
      </c>
      <c r="T491" s="8">
        <f t="shared" si="70"/>
        <v>3.6416703348677117</v>
      </c>
      <c r="U491" t="str">
        <f t="shared" si="71"/>
        <v>Mid</v>
      </c>
    </row>
    <row r="492" spans="1:21">
      <c r="A492" s="1">
        <v>745</v>
      </c>
      <c r="B492" s="2">
        <v>2016</v>
      </c>
      <c r="C492" s="1" t="s">
        <v>81</v>
      </c>
      <c r="D492" s="1" t="s">
        <v>82</v>
      </c>
      <c r="E492" s="1" t="s">
        <v>26</v>
      </c>
      <c r="F492" s="1" t="s">
        <v>27</v>
      </c>
      <c r="G492" s="9">
        <v>136795700</v>
      </c>
      <c r="H492" s="1">
        <v>89</v>
      </c>
      <c r="I492" s="1">
        <v>73</v>
      </c>
      <c r="J492" s="5">
        <v>45.6</v>
      </c>
      <c r="K492" s="1" t="s">
        <v>20</v>
      </c>
      <c r="L492" s="1" t="s">
        <v>19</v>
      </c>
      <c r="M492" s="10">
        <f t="shared" si="63"/>
        <v>2999905.7017543861</v>
      </c>
      <c r="N492" s="10">
        <f t="shared" si="64"/>
        <v>1537030.3370786516</v>
      </c>
      <c r="O492" s="1">
        <f t="shared" si="65"/>
        <v>11</v>
      </c>
      <c r="P492" s="1">
        <f t="shared" si="66"/>
        <v>7</v>
      </c>
      <c r="Q492" s="1">
        <f t="shared" si="67"/>
        <v>4</v>
      </c>
      <c r="R492" s="6">
        <f t="shared" si="68"/>
        <v>0.54938271604938271</v>
      </c>
      <c r="S492" s="8">
        <f t="shared" si="69"/>
        <v>81.842257027201811</v>
      </c>
      <c r="T492" s="8">
        <f t="shared" si="70"/>
        <v>7.1577429727981894</v>
      </c>
      <c r="U492" t="str">
        <f t="shared" si="71"/>
        <v>Mid</v>
      </c>
    </row>
    <row r="493" spans="1:21">
      <c r="A493" s="1">
        <v>459</v>
      </c>
      <c r="B493" s="2">
        <v>2016</v>
      </c>
      <c r="C493" s="1" t="s">
        <v>59</v>
      </c>
      <c r="D493" s="1" t="s">
        <v>60</v>
      </c>
      <c r="E493" s="1" t="s">
        <v>17</v>
      </c>
      <c r="F493" s="1" t="s">
        <v>23</v>
      </c>
      <c r="G493" s="9">
        <v>133626453</v>
      </c>
      <c r="H493" s="1">
        <v>87</v>
      </c>
      <c r="I493" s="1">
        <v>75</v>
      </c>
      <c r="J493" s="5">
        <v>41.7</v>
      </c>
      <c r="K493" s="1" t="s">
        <v>20</v>
      </c>
      <c r="L493" s="1" t="s">
        <v>19</v>
      </c>
      <c r="M493" s="10">
        <f t="shared" si="63"/>
        <v>3204471.2949640285</v>
      </c>
      <c r="N493" s="10">
        <f t="shared" si="64"/>
        <v>1535936.2413793104</v>
      </c>
      <c r="O493" s="1">
        <f t="shared" si="65"/>
        <v>12</v>
      </c>
      <c r="P493" s="1">
        <f t="shared" si="66"/>
        <v>9</v>
      </c>
      <c r="Q493" s="1">
        <f t="shared" si="67"/>
        <v>3</v>
      </c>
      <c r="R493" s="6">
        <f t="shared" si="68"/>
        <v>0.53703703703703709</v>
      </c>
      <c r="S493" s="8">
        <f t="shared" si="69"/>
        <v>81.565565711117159</v>
      </c>
      <c r="T493" s="8">
        <f t="shared" si="70"/>
        <v>5.4344342888828407</v>
      </c>
      <c r="U493" t="str">
        <f t="shared" si="71"/>
        <v>Mid</v>
      </c>
    </row>
    <row r="494" spans="1:21">
      <c r="A494" s="1">
        <v>303</v>
      </c>
      <c r="B494" s="2">
        <v>2016</v>
      </c>
      <c r="C494" s="1" t="s">
        <v>47</v>
      </c>
      <c r="D494" s="1" t="s">
        <v>48</v>
      </c>
      <c r="E494" s="1" t="s">
        <v>26</v>
      </c>
      <c r="F494" s="1" t="s">
        <v>35</v>
      </c>
      <c r="G494" s="9">
        <v>131514525</v>
      </c>
      <c r="H494" s="1">
        <v>81</v>
      </c>
      <c r="I494" s="1">
        <v>81</v>
      </c>
      <c r="J494" s="5">
        <v>26.1</v>
      </c>
      <c r="K494" s="1" t="s">
        <v>19</v>
      </c>
      <c r="L494" s="1" t="s">
        <v>19</v>
      </c>
      <c r="M494" s="10">
        <f t="shared" si="63"/>
        <v>5038870.6896551717</v>
      </c>
      <c r="N494" s="10">
        <f t="shared" si="64"/>
        <v>1623636.111111111</v>
      </c>
      <c r="O494" s="1">
        <f t="shared" si="65"/>
        <v>13</v>
      </c>
      <c r="P494" s="1">
        <f t="shared" si="66"/>
        <v>16</v>
      </c>
      <c r="Q494" s="1">
        <f t="shared" si="67"/>
        <v>-3</v>
      </c>
      <c r="R494" s="6">
        <f t="shared" si="68"/>
        <v>0.5</v>
      </c>
      <c r="S494" s="8">
        <f t="shared" si="69"/>
        <v>81.381183699302994</v>
      </c>
      <c r="T494" s="8">
        <f t="shared" si="70"/>
        <v>-0.38118369930299423</v>
      </c>
      <c r="U494" t="str">
        <f t="shared" si="71"/>
        <v>Mid</v>
      </c>
    </row>
    <row r="495" spans="1:21">
      <c r="A495" s="1">
        <v>667</v>
      </c>
      <c r="B495" s="2">
        <v>2016</v>
      </c>
      <c r="C495" s="1" t="s">
        <v>75</v>
      </c>
      <c r="D495" s="1" t="s">
        <v>76</v>
      </c>
      <c r="E495" s="1" t="s">
        <v>17</v>
      </c>
      <c r="F495" s="1" t="s">
        <v>32</v>
      </c>
      <c r="G495" s="9">
        <v>120301957</v>
      </c>
      <c r="H495" s="1">
        <v>86</v>
      </c>
      <c r="I495" s="1">
        <v>76</v>
      </c>
      <c r="J495" s="5">
        <v>42.5</v>
      </c>
      <c r="K495" s="1" t="s">
        <v>19</v>
      </c>
      <c r="L495" s="1" t="s">
        <v>19</v>
      </c>
      <c r="M495" s="10">
        <f t="shared" si="63"/>
        <v>2830634.2823529411</v>
      </c>
      <c r="N495" s="10">
        <f t="shared" si="64"/>
        <v>1398859.965116279</v>
      </c>
      <c r="O495" s="1">
        <f t="shared" si="65"/>
        <v>14</v>
      </c>
      <c r="P495" s="1">
        <f t="shared" si="66"/>
        <v>11</v>
      </c>
      <c r="Q495" s="1">
        <f t="shared" si="67"/>
        <v>3</v>
      </c>
      <c r="R495" s="6">
        <f t="shared" si="68"/>
        <v>0.53086419753086422</v>
      </c>
      <c r="S495" s="8">
        <f t="shared" si="69"/>
        <v>80.402269718597609</v>
      </c>
      <c r="T495" s="8">
        <f t="shared" si="70"/>
        <v>5.5977302814023915</v>
      </c>
      <c r="U495" t="str">
        <f t="shared" si="71"/>
        <v>Mid</v>
      </c>
    </row>
    <row r="496" spans="1:21">
      <c r="A496" s="1">
        <v>121</v>
      </c>
      <c r="B496" s="2">
        <v>2016</v>
      </c>
      <c r="C496" s="1" t="s">
        <v>30</v>
      </c>
      <c r="D496" s="1" t="s">
        <v>31</v>
      </c>
      <c r="E496" s="1" t="s">
        <v>17</v>
      </c>
      <c r="F496" s="1" t="s">
        <v>32</v>
      </c>
      <c r="G496" s="9">
        <v>116654522</v>
      </c>
      <c r="H496" s="1">
        <v>103</v>
      </c>
      <c r="I496" s="1">
        <v>58</v>
      </c>
      <c r="J496" s="5">
        <v>57.2</v>
      </c>
      <c r="K496" s="1" t="s">
        <v>20</v>
      </c>
      <c r="L496" s="1" t="s">
        <v>20</v>
      </c>
      <c r="M496" s="10">
        <f t="shared" si="63"/>
        <v>2039414.7202797201</v>
      </c>
      <c r="N496" s="10">
        <f t="shared" si="64"/>
        <v>1132568.1747572816</v>
      </c>
      <c r="O496" s="1">
        <f t="shared" si="65"/>
        <v>15</v>
      </c>
      <c r="P496" s="1">
        <f t="shared" si="66"/>
        <v>1</v>
      </c>
      <c r="Q496" s="1">
        <f t="shared" si="67"/>
        <v>14</v>
      </c>
      <c r="R496" s="6">
        <f t="shared" si="68"/>
        <v>0.63975155279503104</v>
      </c>
      <c r="S496" s="8">
        <f t="shared" si="69"/>
        <v>80.08383016797778</v>
      </c>
      <c r="T496" s="8">
        <f t="shared" si="70"/>
        <v>22.91616983202222</v>
      </c>
      <c r="U496" t="str">
        <f t="shared" si="71"/>
        <v>Mid</v>
      </c>
    </row>
    <row r="497" spans="1:21">
      <c r="A497" s="1">
        <v>147</v>
      </c>
      <c r="B497" s="2">
        <v>2016</v>
      </c>
      <c r="C497" s="1" t="s">
        <v>33</v>
      </c>
      <c r="D497" s="1" t="s">
        <v>34</v>
      </c>
      <c r="E497" s="1" t="s">
        <v>26</v>
      </c>
      <c r="F497" s="1" t="s">
        <v>35</v>
      </c>
      <c r="G497" s="9">
        <v>114712866</v>
      </c>
      <c r="H497" s="1">
        <v>78</v>
      </c>
      <c r="I497" s="1">
        <v>84</v>
      </c>
      <c r="J497" s="5">
        <v>34.200000000000003</v>
      </c>
      <c r="K497" s="1" t="s">
        <v>19</v>
      </c>
      <c r="L497" s="1" t="s">
        <v>19</v>
      </c>
      <c r="M497" s="10">
        <f t="shared" si="63"/>
        <v>3354177.3684210526</v>
      </c>
      <c r="N497" s="10">
        <f t="shared" si="64"/>
        <v>1470677.7692307692</v>
      </c>
      <c r="O497" s="1">
        <f t="shared" si="65"/>
        <v>16</v>
      </c>
      <c r="P497" s="1">
        <f t="shared" si="66"/>
        <v>18</v>
      </c>
      <c r="Q497" s="1">
        <f t="shared" si="67"/>
        <v>-2</v>
      </c>
      <c r="R497" s="6">
        <f t="shared" si="68"/>
        <v>0.48148148148148145</v>
      </c>
      <c r="S497" s="8">
        <f t="shared" si="69"/>
        <v>79.914313764231508</v>
      </c>
      <c r="T497" s="8">
        <f t="shared" si="70"/>
        <v>-1.9143137642315082</v>
      </c>
      <c r="U497" t="str">
        <f t="shared" si="71"/>
        <v>Mid</v>
      </c>
    </row>
    <row r="498" spans="1:21">
      <c r="A498" s="1">
        <v>433</v>
      </c>
      <c r="B498" s="2">
        <v>2016</v>
      </c>
      <c r="C498" s="1" t="s">
        <v>57</v>
      </c>
      <c r="D498" s="1" t="s">
        <v>58</v>
      </c>
      <c r="E498" s="1" t="s">
        <v>26</v>
      </c>
      <c r="F498" s="1" t="s">
        <v>35</v>
      </c>
      <c r="G498" s="9">
        <v>108262000</v>
      </c>
      <c r="H498" s="1">
        <v>59</v>
      </c>
      <c r="I498" s="1">
        <v>103</v>
      </c>
      <c r="J498" s="5">
        <v>21.5</v>
      </c>
      <c r="K498" s="1" t="s">
        <v>19</v>
      </c>
      <c r="L498" s="1" t="s">
        <v>19</v>
      </c>
      <c r="M498" s="10">
        <f t="shared" si="63"/>
        <v>5035441.8604651159</v>
      </c>
      <c r="N498" s="10">
        <f t="shared" si="64"/>
        <v>1834949.1525423729</v>
      </c>
      <c r="O498" s="1">
        <f t="shared" si="65"/>
        <v>17</v>
      </c>
      <c r="P498" s="1">
        <f t="shared" si="66"/>
        <v>30</v>
      </c>
      <c r="Q498" s="1">
        <f t="shared" si="67"/>
        <v>-13</v>
      </c>
      <c r="R498" s="6">
        <f t="shared" si="68"/>
        <v>0.36419753086419754</v>
      </c>
      <c r="S498" s="8">
        <f t="shared" si="69"/>
        <v>79.351120487271487</v>
      </c>
      <c r="T498" s="8">
        <f t="shared" si="70"/>
        <v>-20.351120487271487</v>
      </c>
      <c r="U498" t="str">
        <f t="shared" si="71"/>
        <v>Mid</v>
      </c>
    </row>
    <row r="499" spans="1:21">
      <c r="A499" s="1">
        <v>589</v>
      </c>
      <c r="B499" s="2">
        <v>2016</v>
      </c>
      <c r="C499" s="1" t="s">
        <v>69</v>
      </c>
      <c r="D499" s="1" t="s">
        <v>70</v>
      </c>
      <c r="E499" s="1" t="s">
        <v>17</v>
      </c>
      <c r="F499" s="1" t="s">
        <v>18</v>
      </c>
      <c r="G499" s="9">
        <v>101369628</v>
      </c>
      <c r="H499" s="1">
        <v>68</v>
      </c>
      <c r="I499" s="1">
        <v>94</v>
      </c>
      <c r="J499" s="5">
        <v>21.5</v>
      </c>
      <c r="K499" s="1" t="s">
        <v>19</v>
      </c>
      <c r="L499" s="1" t="s">
        <v>19</v>
      </c>
      <c r="M499" s="10">
        <f t="shared" si="63"/>
        <v>4714866.4186046515</v>
      </c>
      <c r="N499" s="10">
        <f t="shared" si="64"/>
        <v>1490729.8235294118</v>
      </c>
      <c r="O499" s="1">
        <f t="shared" si="65"/>
        <v>18</v>
      </c>
      <c r="P499" s="1">
        <f t="shared" si="66"/>
        <v>26</v>
      </c>
      <c r="Q499" s="1">
        <f t="shared" si="67"/>
        <v>-8</v>
      </c>
      <c r="R499" s="6">
        <f t="shared" si="68"/>
        <v>0.41975308641975306</v>
      </c>
      <c r="S499" s="8">
        <f t="shared" si="69"/>
        <v>78.749381500179283</v>
      </c>
      <c r="T499" s="8">
        <f t="shared" si="70"/>
        <v>-10.749381500179283</v>
      </c>
      <c r="U499" t="str">
        <f t="shared" si="71"/>
        <v>Mid</v>
      </c>
    </row>
    <row r="500" spans="1:21">
      <c r="A500" s="1">
        <v>225</v>
      </c>
      <c r="B500" s="2">
        <v>2016</v>
      </c>
      <c r="C500" s="1" t="s">
        <v>40</v>
      </c>
      <c r="D500" s="1" t="s">
        <v>41</v>
      </c>
      <c r="E500" s="1" t="s">
        <v>17</v>
      </c>
      <c r="F500" s="1" t="s">
        <v>18</v>
      </c>
      <c r="G500" s="9">
        <v>98261171</v>
      </c>
      <c r="H500" s="1">
        <v>75</v>
      </c>
      <c r="I500" s="1">
        <v>87</v>
      </c>
      <c r="J500" s="5">
        <v>34.700000000000003</v>
      </c>
      <c r="K500" s="1" t="s">
        <v>19</v>
      </c>
      <c r="L500" s="1" t="s">
        <v>19</v>
      </c>
      <c r="M500" s="10">
        <f t="shared" si="63"/>
        <v>2831734.0345821325</v>
      </c>
      <c r="N500" s="10">
        <f t="shared" si="64"/>
        <v>1310148.9466666668</v>
      </c>
      <c r="O500" s="1">
        <f t="shared" si="65"/>
        <v>19</v>
      </c>
      <c r="P500" s="1">
        <f t="shared" si="66"/>
        <v>20</v>
      </c>
      <c r="Q500" s="1">
        <f t="shared" si="67"/>
        <v>-1</v>
      </c>
      <c r="R500" s="6">
        <f t="shared" si="68"/>
        <v>0.46296296296296297</v>
      </c>
      <c r="S500" s="8">
        <f t="shared" si="69"/>
        <v>78.477997459010354</v>
      </c>
      <c r="T500" s="8">
        <f t="shared" si="70"/>
        <v>-3.4779974590103535</v>
      </c>
      <c r="U500" t="str">
        <f t="shared" si="71"/>
        <v>Mid</v>
      </c>
    </row>
    <row r="501" spans="1:21">
      <c r="A501" s="1">
        <v>17</v>
      </c>
      <c r="B501" s="2">
        <v>2016</v>
      </c>
      <c r="C501" s="1" t="s">
        <v>15</v>
      </c>
      <c r="D501" s="1" t="s">
        <v>16</v>
      </c>
      <c r="E501" s="1" t="s">
        <v>17</v>
      </c>
      <c r="F501" s="1" t="s">
        <v>18</v>
      </c>
      <c r="G501" s="9">
        <v>93257600</v>
      </c>
      <c r="H501" s="1">
        <v>69</v>
      </c>
      <c r="I501" s="1">
        <v>93</v>
      </c>
      <c r="J501" s="5">
        <v>26.1</v>
      </c>
      <c r="K501" s="1" t="s">
        <v>19</v>
      </c>
      <c r="L501" s="1" t="s">
        <v>19</v>
      </c>
      <c r="M501" s="10">
        <f t="shared" si="63"/>
        <v>3573088.1226053638</v>
      </c>
      <c r="N501" s="10">
        <f t="shared" si="64"/>
        <v>1351559.420289855</v>
      </c>
      <c r="O501" s="1">
        <f t="shared" si="65"/>
        <v>20</v>
      </c>
      <c r="P501" s="1">
        <f t="shared" si="66"/>
        <v>24</v>
      </c>
      <c r="Q501" s="1">
        <f t="shared" si="67"/>
        <v>-4</v>
      </c>
      <c r="R501" s="6">
        <f t="shared" si="68"/>
        <v>0.42592592592592593</v>
      </c>
      <c r="S501" s="8">
        <f t="shared" si="69"/>
        <v>78.04116036644136</v>
      </c>
      <c r="T501" s="8">
        <f t="shared" si="70"/>
        <v>-9.0411603664413605</v>
      </c>
      <c r="U501" t="str">
        <f t="shared" si="71"/>
        <v>Mid</v>
      </c>
    </row>
    <row r="502" spans="1:21">
      <c r="A502" s="1">
        <v>173</v>
      </c>
      <c r="B502" s="2">
        <v>2016</v>
      </c>
      <c r="C502" s="1" t="s">
        <v>36</v>
      </c>
      <c r="D502" s="1" t="s">
        <v>37</v>
      </c>
      <c r="E502" s="1" t="s">
        <v>17</v>
      </c>
      <c r="F502" s="1" t="s">
        <v>32</v>
      </c>
      <c r="G502" s="9">
        <v>89832284</v>
      </c>
      <c r="H502" s="1">
        <v>68</v>
      </c>
      <c r="I502" s="1">
        <v>94</v>
      </c>
      <c r="J502" s="5">
        <v>21.2</v>
      </c>
      <c r="K502" s="1" t="s">
        <v>19</v>
      </c>
      <c r="L502" s="1" t="s">
        <v>19</v>
      </c>
      <c r="M502" s="10">
        <f t="shared" si="63"/>
        <v>4237371.886792453</v>
      </c>
      <c r="N502" s="10">
        <f t="shared" si="64"/>
        <v>1321063</v>
      </c>
      <c r="O502" s="1">
        <f t="shared" si="65"/>
        <v>21</v>
      </c>
      <c r="P502" s="1">
        <f t="shared" si="66"/>
        <v>26</v>
      </c>
      <c r="Q502" s="1">
        <f t="shared" si="67"/>
        <v>-5</v>
      </c>
      <c r="R502" s="6">
        <f t="shared" si="68"/>
        <v>0.41975308641975306</v>
      </c>
      <c r="S502" s="8">
        <f t="shared" si="69"/>
        <v>77.742112929606733</v>
      </c>
      <c r="T502" s="8">
        <f t="shared" si="70"/>
        <v>-9.7421129296067335</v>
      </c>
      <c r="U502" t="str">
        <f t="shared" si="71"/>
        <v>Mid</v>
      </c>
    </row>
    <row r="503" spans="1:21">
      <c r="A503" s="1">
        <v>537</v>
      </c>
      <c r="B503" s="2">
        <v>2016</v>
      </c>
      <c r="C503" s="1" t="s">
        <v>65</v>
      </c>
      <c r="D503" s="1" t="s">
        <v>66</v>
      </c>
      <c r="E503" s="1" t="s">
        <v>17</v>
      </c>
      <c r="F503" s="1" t="s">
        <v>23</v>
      </c>
      <c r="G503" s="9">
        <v>88948000</v>
      </c>
      <c r="H503" s="1">
        <v>71</v>
      </c>
      <c r="I503" s="1">
        <v>91</v>
      </c>
      <c r="J503" s="5">
        <v>25.2</v>
      </c>
      <c r="K503" s="1" t="s">
        <v>19</v>
      </c>
      <c r="L503" s="1" t="s">
        <v>19</v>
      </c>
      <c r="M503" s="10">
        <f t="shared" si="63"/>
        <v>3529682.5396825396</v>
      </c>
      <c r="N503" s="10">
        <f t="shared" si="64"/>
        <v>1252788.7323943663</v>
      </c>
      <c r="O503" s="1">
        <f t="shared" si="65"/>
        <v>22</v>
      </c>
      <c r="P503" s="1">
        <f t="shared" si="66"/>
        <v>23</v>
      </c>
      <c r="Q503" s="1">
        <f t="shared" si="67"/>
        <v>-1</v>
      </c>
      <c r="R503" s="6">
        <f t="shared" si="68"/>
        <v>0.43827160493827161</v>
      </c>
      <c r="S503" s="8">
        <f t="shared" si="69"/>
        <v>77.664910457299413</v>
      </c>
      <c r="T503" s="8">
        <f t="shared" si="70"/>
        <v>-6.6649104572994133</v>
      </c>
      <c r="U503" t="str">
        <f t="shared" si="71"/>
        <v>Mid</v>
      </c>
    </row>
    <row r="504" spans="1:21">
      <c r="A504" s="1">
        <v>43</v>
      </c>
      <c r="B504" s="2">
        <v>2016</v>
      </c>
      <c r="C504" s="1" t="s">
        <v>21</v>
      </c>
      <c r="D504" s="1" t="s">
        <v>22</v>
      </c>
      <c r="E504" s="1" t="s">
        <v>17</v>
      </c>
      <c r="F504" s="1" t="s">
        <v>23</v>
      </c>
      <c r="G504" s="9">
        <v>87622648</v>
      </c>
      <c r="H504" s="1">
        <v>68</v>
      </c>
      <c r="I504" s="1">
        <v>93</v>
      </c>
      <c r="J504" s="5">
        <v>26.4</v>
      </c>
      <c r="K504" s="1" t="s">
        <v>19</v>
      </c>
      <c r="L504" s="1" t="s">
        <v>19</v>
      </c>
      <c r="M504" s="10">
        <f t="shared" si="63"/>
        <v>3319039.6969696973</v>
      </c>
      <c r="N504" s="10">
        <f t="shared" si="64"/>
        <v>1288568.3529411764</v>
      </c>
      <c r="O504" s="1">
        <f t="shared" si="65"/>
        <v>23</v>
      </c>
      <c r="P504" s="1">
        <f t="shared" si="66"/>
        <v>26</v>
      </c>
      <c r="Q504" s="1">
        <f t="shared" si="67"/>
        <v>-3</v>
      </c>
      <c r="R504" s="6">
        <f t="shared" si="68"/>
        <v>0.42236024844720499</v>
      </c>
      <c r="S504" s="8">
        <f t="shared" si="69"/>
        <v>77.549200514478471</v>
      </c>
      <c r="T504" s="8">
        <f t="shared" si="70"/>
        <v>-9.5492005144784713</v>
      </c>
      <c r="U504" t="str">
        <f t="shared" si="71"/>
        <v>Mid</v>
      </c>
    </row>
    <row r="505" spans="1:21">
      <c r="A505" s="1">
        <v>199</v>
      </c>
      <c r="B505" s="2">
        <v>2016</v>
      </c>
      <c r="C505" s="1" t="s">
        <v>38</v>
      </c>
      <c r="D505" s="1" t="s">
        <v>39</v>
      </c>
      <c r="E505" s="1" t="s">
        <v>26</v>
      </c>
      <c r="F505" s="1" t="s">
        <v>35</v>
      </c>
      <c r="G505" s="9">
        <v>86339067</v>
      </c>
      <c r="H505" s="1">
        <v>94</v>
      </c>
      <c r="I505" s="1">
        <v>67</v>
      </c>
      <c r="J505" s="5">
        <v>48.1</v>
      </c>
      <c r="K505" s="1" t="s">
        <v>20</v>
      </c>
      <c r="L505" s="1" t="s">
        <v>19</v>
      </c>
      <c r="M505" s="10">
        <f t="shared" si="63"/>
        <v>1794990.9979209979</v>
      </c>
      <c r="N505" s="10">
        <f t="shared" si="64"/>
        <v>918500.71276595746</v>
      </c>
      <c r="O505" s="1">
        <f t="shared" si="65"/>
        <v>24</v>
      </c>
      <c r="P505" s="1">
        <f t="shared" si="66"/>
        <v>4</v>
      </c>
      <c r="Q505" s="1">
        <f t="shared" si="67"/>
        <v>20</v>
      </c>
      <c r="R505" s="6">
        <f t="shared" si="68"/>
        <v>0.58385093167701863</v>
      </c>
      <c r="S505" s="8">
        <f t="shared" si="69"/>
        <v>77.437137391537519</v>
      </c>
      <c r="T505" s="8">
        <f t="shared" si="70"/>
        <v>16.562862608462481</v>
      </c>
      <c r="U505" t="str">
        <f t="shared" si="71"/>
        <v>Mid</v>
      </c>
    </row>
    <row r="506" spans="1:21">
      <c r="A506" s="1">
        <v>563</v>
      </c>
      <c r="B506" s="2">
        <v>2016</v>
      </c>
      <c r="C506" s="1" t="s">
        <v>67</v>
      </c>
      <c r="D506" s="1" t="s">
        <v>68</v>
      </c>
      <c r="E506" s="1" t="s">
        <v>17</v>
      </c>
      <c r="F506" s="1" t="s">
        <v>32</v>
      </c>
      <c r="G506" s="9">
        <v>85885832</v>
      </c>
      <c r="H506" s="1">
        <v>78</v>
      </c>
      <c r="I506" s="1">
        <v>83</v>
      </c>
      <c r="J506" s="5">
        <v>28.4</v>
      </c>
      <c r="K506" s="1" t="s">
        <v>19</v>
      </c>
      <c r="L506" s="1" t="s">
        <v>19</v>
      </c>
      <c r="M506" s="10">
        <f t="shared" si="63"/>
        <v>3024149.0140845072</v>
      </c>
      <c r="N506" s="10">
        <f t="shared" si="64"/>
        <v>1101100.4102564103</v>
      </c>
      <c r="O506" s="1">
        <f t="shared" si="65"/>
        <v>25</v>
      </c>
      <c r="P506" s="1">
        <f t="shared" si="66"/>
        <v>18</v>
      </c>
      <c r="Q506" s="1">
        <f t="shared" si="67"/>
        <v>7</v>
      </c>
      <c r="R506" s="6">
        <f t="shared" si="68"/>
        <v>0.48447204968944102</v>
      </c>
      <c r="S506" s="8">
        <f t="shared" si="69"/>
        <v>77.397567680295182</v>
      </c>
      <c r="T506" s="8">
        <f t="shared" si="70"/>
        <v>0.60243231970481759</v>
      </c>
      <c r="U506" t="str">
        <f t="shared" si="71"/>
        <v>Mid</v>
      </c>
    </row>
    <row r="507" spans="1:21">
      <c r="A507" s="1">
        <v>511</v>
      </c>
      <c r="B507" s="2">
        <v>2016</v>
      </c>
      <c r="C507" s="1" t="s">
        <v>63</v>
      </c>
      <c r="D507" s="1" t="s">
        <v>64</v>
      </c>
      <c r="E507" s="1" t="s">
        <v>26</v>
      </c>
      <c r="F507" s="1" t="s">
        <v>46</v>
      </c>
      <c r="G507" s="9">
        <v>80679166</v>
      </c>
      <c r="H507" s="1">
        <v>69</v>
      </c>
      <c r="I507" s="1">
        <v>93</v>
      </c>
      <c r="J507" s="5">
        <v>23.1</v>
      </c>
      <c r="K507" s="1" t="s">
        <v>19</v>
      </c>
      <c r="L507" s="1" t="s">
        <v>19</v>
      </c>
      <c r="M507" s="10">
        <f t="shared" si="63"/>
        <v>3492604.5887445887</v>
      </c>
      <c r="N507" s="10">
        <f t="shared" si="64"/>
        <v>1169263.2753623188</v>
      </c>
      <c r="O507" s="1">
        <f t="shared" si="65"/>
        <v>26</v>
      </c>
      <c r="P507" s="1">
        <f t="shared" si="66"/>
        <v>24</v>
      </c>
      <c r="Q507" s="1">
        <f t="shared" si="67"/>
        <v>2</v>
      </c>
      <c r="R507" s="6">
        <f t="shared" si="68"/>
        <v>0.42592592592592593</v>
      </c>
      <c r="S507" s="8">
        <f t="shared" si="69"/>
        <v>76.942999365502047</v>
      </c>
      <c r="T507" s="8">
        <f t="shared" si="70"/>
        <v>-7.9429993655020468</v>
      </c>
      <c r="U507" t="str">
        <f t="shared" si="71"/>
        <v>Mid</v>
      </c>
    </row>
    <row r="508" spans="1:21">
      <c r="A508" s="1">
        <v>381</v>
      </c>
      <c r="B508" s="2">
        <v>2016</v>
      </c>
      <c r="C508" s="1" t="s">
        <v>53</v>
      </c>
      <c r="D508" s="1" t="s">
        <v>54</v>
      </c>
      <c r="E508" s="1" t="s">
        <v>17</v>
      </c>
      <c r="F508" s="1" t="s">
        <v>23</v>
      </c>
      <c r="G508" s="9">
        <v>74387500</v>
      </c>
      <c r="H508" s="1">
        <v>79</v>
      </c>
      <c r="I508" s="1">
        <v>82</v>
      </c>
      <c r="J508" s="5">
        <v>32.799999999999997</v>
      </c>
      <c r="K508" s="1" t="s">
        <v>19</v>
      </c>
      <c r="L508" s="1" t="s">
        <v>19</v>
      </c>
      <c r="M508" s="10">
        <f t="shared" si="63"/>
        <v>2267911.5853658537</v>
      </c>
      <c r="N508" s="10">
        <f t="shared" si="64"/>
        <v>941613.92405063286</v>
      </c>
      <c r="O508" s="1">
        <f t="shared" si="65"/>
        <v>27</v>
      </c>
      <c r="P508" s="1">
        <f t="shared" si="66"/>
        <v>17</v>
      </c>
      <c r="Q508" s="1">
        <f t="shared" si="67"/>
        <v>10</v>
      </c>
      <c r="R508" s="6">
        <f t="shared" si="68"/>
        <v>0.49068322981366458</v>
      </c>
      <c r="S508" s="8">
        <f t="shared" si="69"/>
        <v>76.393705054927636</v>
      </c>
      <c r="T508" s="8">
        <f t="shared" si="70"/>
        <v>2.6062949450723636</v>
      </c>
      <c r="U508" t="str">
        <f t="shared" si="71"/>
        <v>Low</v>
      </c>
    </row>
    <row r="509" spans="1:21">
      <c r="A509" s="1">
        <v>277</v>
      </c>
      <c r="B509" s="2">
        <v>2016</v>
      </c>
      <c r="C509" s="1" t="s">
        <v>44</v>
      </c>
      <c r="D509" s="1" t="s">
        <v>45</v>
      </c>
      <c r="E509" s="1" t="s">
        <v>26</v>
      </c>
      <c r="F509" s="1" t="s">
        <v>46</v>
      </c>
      <c r="G509" s="9">
        <v>69064200</v>
      </c>
      <c r="H509" s="1">
        <v>84</v>
      </c>
      <c r="I509" s="1">
        <v>78</v>
      </c>
      <c r="J509" s="5">
        <v>42.2</v>
      </c>
      <c r="K509" s="1" t="s">
        <v>19</v>
      </c>
      <c r="L509" s="1" t="s">
        <v>19</v>
      </c>
      <c r="M509" s="10">
        <f t="shared" si="63"/>
        <v>1636592.4170616113</v>
      </c>
      <c r="N509" s="10">
        <f t="shared" si="64"/>
        <v>822192.85714285716</v>
      </c>
      <c r="O509" s="1">
        <f t="shared" si="65"/>
        <v>28</v>
      </c>
      <c r="P509" s="1">
        <f t="shared" si="66"/>
        <v>14</v>
      </c>
      <c r="Q509" s="1">
        <f t="shared" si="67"/>
        <v>14</v>
      </c>
      <c r="R509" s="6">
        <f t="shared" si="68"/>
        <v>0.51851851851851849</v>
      </c>
      <c r="S509" s="8">
        <f t="shared" si="69"/>
        <v>75.928954001155731</v>
      </c>
      <c r="T509" s="8">
        <f t="shared" si="70"/>
        <v>8.0710459988442693</v>
      </c>
      <c r="U509" t="str">
        <f t="shared" si="71"/>
        <v>Low</v>
      </c>
    </row>
    <row r="510" spans="1:21">
      <c r="A510" s="1">
        <v>407</v>
      </c>
      <c r="B510" s="2">
        <v>2016</v>
      </c>
      <c r="C510" s="1" t="s">
        <v>55</v>
      </c>
      <c r="D510" s="1" t="s">
        <v>56</v>
      </c>
      <c r="E510" s="1" t="s">
        <v>17</v>
      </c>
      <c r="F510" s="1" t="s">
        <v>32</v>
      </c>
      <c r="G510" s="9">
        <v>63912235</v>
      </c>
      <c r="H510" s="1">
        <v>73</v>
      </c>
      <c r="I510" s="1">
        <v>89</v>
      </c>
      <c r="J510" s="5">
        <v>24.5</v>
      </c>
      <c r="K510" s="1" t="s">
        <v>19</v>
      </c>
      <c r="L510" s="1" t="s">
        <v>19</v>
      </c>
      <c r="M510" s="10">
        <f t="shared" si="63"/>
        <v>2608662.6530612246</v>
      </c>
      <c r="N510" s="10">
        <f t="shared" si="64"/>
        <v>875510.06849315064</v>
      </c>
      <c r="O510" s="1">
        <f t="shared" si="65"/>
        <v>29</v>
      </c>
      <c r="P510" s="1">
        <f t="shared" si="66"/>
        <v>22</v>
      </c>
      <c r="Q510" s="1">
        <f t="shared" si="67"/>
        <v>7</v>
      </c>
      <c r="R510" s="6">
        <f t="shared" si="68"/>
        <v>0.45061728395061729</v>
      </c>
      <c r="S510" s="8">
        <f t="shared" si="69"/>
        <v>75.479161360736086</v>
      </c>
      <c r="T510" s="8">
        <f t="shared" si="70"/>
        <v>-2.4791613607360858</v>
      </c>
      <c r="U510" t="str">
        <f t="shared" si="71"/>
        <v>Low</v>
      </c>
    </row>
    <row r="511" spans="1:21">
      <c r="A511" s="1">
        <v>693</v>
      </c>
      <c r="B511" s="2">
        <v>2016</v>
      </c>
      <c r="C511" s="1" t="s">
        <v>77</v>
      </c>
      <c r="D511" s="1" t="s">
        <v>78</v>
      </c>
      <c r="E511" s="1" t="s">
        <v>26</v>
      </c>
      <c r="F511" s="1" t="s">
        <v>27</v>
      </c>
      <c r="G511" s="9">
        <v>57149584</v>
      </c>
      <c r="H511" s="1">
        <v>68</v>
      </c>
      <c r="I511" s="1">
        <v>94</v>
      </c>
      <c r="J511" s="5">
        <v>31.7</v>
      </c>
      <c r="K511" s="1" t="s">
        <v>19</v>
      </c>
      <c r="L511" s="1" t="s">
        <v>19</v>
      </c>
      <c r="M511" s="10">
        <f t="shared" si="63"/>
        <v>1802825.9936908518</v>
      </c>
      <c r="N511" s="10">
        <f t="shared" si="64"/>
        <v>840435.0588235294</v>
      </c>
      <c r="O511" s="1">
        <f t="shared" si="65"/>
        <v>30</v>
      </c>
      <c r="P511" s="1">
        <f t="shared" si="66"/>
        <v>26</v>
      </c>
      <c r="Q511" s="1">
        <f t="shared" si="67"/>
        <v>4</v>
      </c>
      <c r="R511" s="6">
        <f t="shared" si="68"/>
        <v>0.41975308641975306</v>
      </c>
      <c r="S511" s="8">
        <f t="shared" si="69"/>
        <v>74.888747674011398</v>
      </c>
      <c r="T511" s="8">
        <f t="shared" si="70"/>
        <v>-6.8887476740113982</v>
      </c>
      <c r="U511" t="str">
        <f t="shared" si="71"/>
        <v>Low</v>
      </c>
    </row>
    <row r="512" spans="1:21">
      <c r="A512" s="1">
        <v>356</v>
      </c>
      <c r="B512" s="2">
        <v>2017</v>
      </c>
      <c r="C512" s="1" t="s">
        <v>51</v>
      </c>
      <c r="D512" s="1" t="s">
        <v>52</v>
      </c>
      <c r="E512" s="1" t="s">
        <v>17</v>
      </c>
      <c r="F512" s="1" t="s">
        <v>18</v>
      </c>
      <c r="G512" s="9">
        <v>187989811</v>
      </c>
      <c r="H512" s="1">
        <v>104</v>
      </c>
      <c r="I512" s="1">
        <v>58</v>
      </c>
      <c r="J512" s="5">
        <v>52.2</v>
      </c>
      <c r="K512" s="1" t="s">
        <v>20</v>
      </c>
      <c r="L512" s="1" t="s">
        <v>19</v>
      </c>
      <c r="M512" s="10">
        <f t="shared" si="63"/>
        <v>3601337.375478927</v>
      </c>
      <c r="N512" s="10">
        <f t="shared" si="64"/>
        <v>1807594.3365384615</v>
      </c>
      <c r="O512" s="1">
        <f t="shared" si="65"/>
        <v>1</v>
      </c>
      <c r="P512" s="1">
        <f t="shared" si="66"/>
        <v>1</v>
      </c>
      <c r="Q512" s="1">
        <f t="shared" si="67"/>
        <v>0</v>
      </c>
      <c r="R512" s="6">
        <f t="shared" si="68"/>
        <v>0.64197530864197527</v>
      </c>
      <c r="S512" s="8">
        <f t="shared" si="69"/>
        <v>86.31176222776638</v>
      </c>
      <c r="T512" s="8">
        <f t="shared" si="70"/>
        <v>17.68823777223362</v>
      </c>
      <c r="U512" t="str">
        <f t="shared" si="71"/>
        <v>High</v>
      </c>
    </row>
    <row r="513" spans="1:21">
      <c r="A513" s="1">
        <v>252</v>
      </c>
      <c r="B513" s="2">
        <v>2017</v>
      </c>
      <c r="C513" s="1" t="s">
        <v>42</v>
      </c>
      <c r="D513" s="1" t="s">
        <v>43</v>
      </c>
      <c r="E513" s="1" t="s">
        <v>26</v>
      </c>
      <c r="F513" s="1" t="s">
        <v>35</v>
      </c>
      <c r="G513" s="9">
        <v>180250600</v>
      </c>
      <c r="H513" s="1">
        <v>64</v>
      </c>
      <c r="I513" s="1">
        <v>98</v>
      </c>
      <c r="J513" s="5">
        <v>21.5</v>
      </c>
      <c r="K513" s="1" t="s">
        <v>19</v>
      </c>
      <c r="L513" s="1" t="s">
        <v>19</v>
      </c>
      <c r="M513" s="10">
        <f t="shared" si="63"/>
        <v>8383748.837209302</v>
      </c>
      <c r="N513" s="10">
        <f t="shared" si="64"/>
        <v>2816415.625</v>
      </c>
      <c r="O513" s="1">
        <f t="shared" si="65"/>
        <v>2</v>
      </c>
      <c r="P513" s="1">
        <f t="shared" si="66"/>
        <v>29</v>
      </c>
      <c r="Q513" s="1">
        <f t="shared" si="67"/>
        <v>-27</v>
      </c>
      <c r="R513" s="6">
        <f t="shared" si="68"/>
        <v>0.39506172839506171</v>
      </c>
      <c r="S513" s="8">
        <f t="shared" si="69"/>
        <v>85.636089906534622</v>
      </c>
      <c r="T513" s="8">
        <f t="shared" si="70"/>
        <v>-21.636089906534622</v>
      </c>
      <c r="U513" t="str">
        <f t="shared" si="71"/>
        <v>High</v>
      </c>
    </row>
    <row r="514" spans="1:21">
      <c r="A514" s="1">
        <v>720</v>
      </c>
      <c r="B514" s="2">
        <v>2017</v>
      </c>
      <c r="C514" s="1" t="s">
        <v>79</v>
      </c>
      <c r="D514" s="1" t="s">
        <v>80</v>
      </c>
      <c r="E514" s="1" t="s">
        <v>26</v>
      </c>
      <c r="F514" s="1" t="s">
        <v>46</v>
      </c>
      <c r="G514" s="9">
        <v>178431396</v>
      </c>
      <c r="H514" s="1">
        <v>78</v>
      </c>
      <c r="I514" s="1">
        <v>84</v>
      </c>
      <c r="J514" s="5">
        <v>33.4</v>
      </c>
      <c r="K514" s="1" t="s">
        <v>19</v>
      </c>
      <c r="L514" s="1" t="s">
        <v>19</v>
      </c>
      <c r="M514" s="10">
        <f t="shared" ref="M514:M577" si="72">G514/J514</f>
        <v>5342257.3652694616</v>
      </c>
      <c r="N514" s="10">
        <f t="shared" ref="N514:N577" si="73">G514/H514</f>
        <v>2287582</v>
      </c>
      <c r="O514" s="1">
        <f t="shared" si="65"/>
        <v>3</v>
      </c>
      <c r="P514" s="1">
        <f t="shared" si="66"/>
        <v>16</v>
      </c>
      <c r="Q514" s="1">
        <f t="shared" si="67"/>
        <v>-13</v>
      </c>
      <c r="R514" s="6">
        <f t="shared" si="68"/>
        <v>0.48148148148148145</v>
      </c>
      <c r="S514" s="8">
        <f t="shared" si="69"/>
        <v>85.477264182636645</v>
      </c>
      <c r="T514" s="8">
        <f t="shared" si="70"/>
        <v>-7.4772641826366453</v>
      </c>
      <c r="U514" t="str">
        <f t="shared" si="71"/>
        <v>High</v>
      </c>
    </row>
    <row r="515" spans="1:21">
      <c r="A515" s="1">
        <v>616</v>
      </c>
      <c r="B515" s="2">
        <v>2017</v>
      </c>
      <c r="C515" s="1" t="s">
        <v>71</v>
      </c>
      <c r="D515" s="1" t="s">
        <v>72</v>
      </c>
      <c r="E515" s="1" t="s">
        <v>17</v>
      </c>
      <c r="F515" s="1" t="s">
        <v>18</v>
      </c>
      <c r="G515" s="9">
        <v>176531278</v>
      </c>
      <c r="H515" s="1">
        <v>64</v>
      </c>
      <c r="I515" s="1">
        <v>98</v>
      </c>
      <c r="J515" s="5">
        <v>20.8</v>
      </c>
      <c r="K515" s="1" t="s">
        <v>19</v>
      </c>
      <c r="L515" s="1" t="s">
        <v>19</v>
      </c>
      <c r="M515" s="10">
        <f t="shared" si="72"/>
        <v>8487080.6730769221</v>
      </c>
      <c r="N515" s="10">
        <f t="shared" si="73"/>
        <v>2758301.21875</v>
      </c>
      <c r="O515" s="1">
        <f t="shared" ref="O515:O578" si="74">COUNTIFS($B$2:$B$1000, B515, $G$2:$G$1000, "&gt;"&amp;G515) + 1</f>
        <v>4</v>
      </c>
      <c r="P515" s="1">
        <f t="shared" ref="P515:P578" si="75">COUNTIFS($B$2:$B$1000, B515, $H$2:$H$1000, "&gt;"&amp;H515) + 1</f>
        <v>29</v>
      </c>
      <c r="Q515" s="1">
        <f t="shared" ref="Q515:Q578" si="76">O515-P515</f>
        <v>-25</v>
      </c>
      <c r="R515" s="6">
        <f t="shared" ref="R515:R578" si="77">H515/(H515+I515)</f>
        <v>0.39506172839506171</v>
      </c>
      <c r="S515" s="8">
        <f t="shared" ref="S515:S578" si="78">_xlfn.FORECAST.LINEAR(G515, $H$2:$H$781, $G$2:$G$781)</f>
        <v>85.311374256690158</v>
      </c>
      <c r="T515" s="8">
        <f t="shared" ref="T515:T578" si="79">H515-S515</f>
        <v>-21.311374256690158</v>
      </c>
      <c r="U515" t="str">
        <f t="shared" ref="U515:U578" si="80">IF(G515&lt;80000000,"Low",
 IF(G515&lt;150000000,"Mid","High"))</f>
        <v>High</v>
      </c>
    </row>
    <row r="516" spans="1:21">
      <c r="A516" s="1">
        <v>460</v>
      </c>
      <c r="B516" s="2">
        <v>2017</v>
      </c>
      <c r="C516" s="1" t="s">
        <v>59</v>
      </c>
      <c r="D516" s="1" t="s">
        <v>60</v>
      </c>
      <c r="E516" s="1" t="s">
        <v>17</v>
      </c>
      <c r="F516" s="1" t="s">
        <v>23</v>
      </c>
      <c r="G516" s="9">
        <v>176284679</v>
      </c>
      <c r="H516" s="1">
        <v>70</v>
      </c>
      <c r="I516" s="1">
        <v>92</v>
      </c>
      <c r="J516" s="5">
        <v>23.1</v>
      </c>
      <c r="K516" s="1" t="s">
        <v>19</v>
      </c>
      <c r="L516" s="1" t="s">
        <v>19</v>
      </c>
      <c r="M516" s="10">
        <f t="shared" si="72"/>
        <v>7631371.3852813849</v>
      </c>
      <c r="N516" s="10">
        <f t="shared" si="73"/>
        <v>2518352.557142857</v>
      </c>
      <c r="O516" s="1">
        <f t="shared" si="74"/>
        <v>5</v>
      </c>
      <c r="P516" s="1">
        <f t="shared" si="75"/>
        <v>25</v>
      </c>
      <c r="Q516" s="1">
        <f t="shared" si="76"/>
        <v>-20</v>
      </c>
      <c r="R516" s="6">
        <f t="shared" si="77"/>
        <v>0.43209876543209874</v>
      </c>
      <c r="S516" s="8">
        <f t="shared" si="78"/>
        <v>85.289844914907974</v>
      </c>
      <c r="T516" s="8">
        <f t="shared" si="79"/>
        <v>-15.289844914907974</v>
      </c>
      <c r="U516" t="str">
        <f t="shared" si="80"/>
        <v>High</v>
      </c>
    </row>
    <row r="517" spans="1:21">
      <c r="A517" s="1">
        <v>96</v>
      </c>
      <c r="B517" s="2">
        <v>2017</v>
      </c>
      <c r="C517" s="1" t="s">
        <v>28</v>
      </c>
      <c r="D517" s="1" t="s">
        <v>29</v>
      </c>
      <c r="E517" s="1" t="s">
        <v>26</v>
      </c>
      <c r="F517" s="1" t="s">
        <v>27</v>
      </c>
      <c r="G517" s="9">
        <v>174287098</v>
      </c>
      <c r="H517" s="1">
        <v>93</v>
      </c>
      <c r="I517" s="1">
        <v>69</v>
      </c>
      <c r="J517" s="5">
        <v>48.2</v>
      </c>
      <c r="K517" s="1" t="s">
        <v>20</v>
      </c>
      <c r="L517" s="1" t="s">
        <v>19</v>
      </c>
      <c r="M517" s="10">
        <f t="shared" si="72"/>
        <v>3615914.8962655598</v>
      </c>
      <c r="N517" s="10">
        <f t="shared" si="73"/>
        <v>1874054.817204301</v>
      </c>
      <c r="O517" s="1">
        <f t="shared" si="74"/>
        <v>6</v>
      </c>
      <c r="P517" s="1">
        <f t="shared" si="75"/>
        <v>5</v>
      </c>
      <c r="Q517" s="1">
        <f t="shared" si="76"/>
        <v>1</v>
      </c>
      <c r="R517" s="6">
        <f t="shared" si="77"/>
        <v>0.57407407407407407</v>
      </c>
      <c r="S517" s="8">
        <f t="shared" si="78"/>
        <v>85.115445975388369</v>
      </c>
      <c r="T517" s="8">
        <f t="shared" si="79"/>
        <v>7.8845540246116315</v>
      </c>
      <c r="U517" t="str">
        <f t="shared" si="80"/>
        <v>High</v>
      </c>
    </row>
    <row r="518" spans="1:21">
      <c r="A518" s="1">
        <v>486</v>
      </c>
      <c r="B518" s="2">
        <v>2017</v>
      </c>
      <c r="C518" s="1" t="s">
        <v>61</v>
      </c>
      <c r="D518" s="1" t="s">
        <v>62</v>
      </c>
      <c r="E518" s="1" t="s">
        <v>26</v>
      </c>
      <c r="F518" s="1" t="s">
        <v>27</v>
      </c>
      <c r="G518" s="9">
        <v>170389199</v>
      </c>
      <c r="H518" s="1">
        <v>91</v>
      </c>
      <c r="I518" s="1">
        <v>71</v>
      </c>
      <c r="J518" s="5">
        <v>48.7</v>
      </c>
      <c r="K518" s="1" t="s">
        <v>20</v>
      </c>
      <c r="L518" s="1" t="s">
        <v>19</v>
      </c>
      <c r="M518" s="10">
        <f t="shared" si="72"/>
        <v>3498751.5195071865</v>
      </c>
      <c r="N518" s="10">
        <f t="shared" si="73"/>
        <v>1872408.7802197803</v>
      </c>
      <c r="O518" s="1">
        <f t="shared" si="74"/>
        <v>7</v>
      </c>
      <c r="P518" s="1">
        <f t="shared" si="75"/>
        <v>8</v>
      </c>
      <c r="Q518" s="1">
        <f t="shared" si="76"/>
        <v>-1</v>
      </c>
      <c r="R518" s="6">
        <f t="shared" si="77"/>
        <v>0.56172839506172845</v>
      </c>
      <c r="S518" s="8">
        <f t="shared" si="78"/>
        <v>84.775139648909231</v>
      </c>
      <c r="T518" s="8">
        <f t="shared" si="79"/>
        <v>6.2248603510907685</v>
      </c>
      <c r="U518" t="str">
        <f t="shared" si="80"/>
        <v>High</v>
      </c>
    </row>
    <row r="519" spans="1:21">
      <c r="A519" s="1">
        <v>122</v>
      </c>
      <c r="B519" s="2">
        <v>2017</v>
      </c>
      <c r="C519" s="1" t="s">
        <v>30</v>
      </c>
      <c r="D519" s="1" t="s">
        <v>31</v>
      </c>
      <c r="E519" s="1" t="s">
        <v>17</v>
      </c>
      <c r="F519" s="1" t="s">
        <v>32</v>
      </c>
      <c r="G519" s="9">
        <v>170088502</v>
      </c>
      <c r="H519" s="1">
        <v>92</v>
      </c>
      <c r="I519" s="1">
        <v>70</v>
      </c>
      <c r="J519" s="5">
        <v>41.7</v>
      </c>
      <c r="K519" s="1" t="s">
        <v>20</v>
      </c>
      <c r="L519" s="1" t="s">
        <v>19</v>
      </c>
      <c r="M519" s="10">
        <f t="shared" si="72"/>
        <v>4078860.9592326134</v>
      </c>
      <c r="N519" s="10">
        <f t="shared" si="73"/>
        <v>1848788.0652173914</v>
      </c>
      <c r="O519" s="1">
        <f t="shared" si="74"/>
        <v>8</v>
      </c>
      <c r="P519" s="1">
        <f t="shared" si="75"/>
        <v>7</v>
      </c>
      <c r="Q519" s="1">
        <f t="shared" si="76"/>
        <v>1</v>
      </c>
      <c r="R519" s="6">
        <f t="shared" si="77"/>
        <v>0.5679012345679012</v>
      </c>
      <c r="S519" s="8">
        <f t="shared" si="78"/>
        <v>84.748887277707894</v>
      </c>
      <c r="T519" s="8">
        <f t="shared" si="79"/>
        <v>7.2511127222921061</v>
      </c>
      <c r="U519" t="str">
        <f t="shared" si="80"/>
        <v>High</v>
      </c>
    </row>
    <row r="520" spans="1:21">
      <c r="A520" s="1">
        <v>772</v>
      </c>
      <c r="B520" s="2">
        <v>2017</v>
      </c>
      <c r="C520" s="1" t="s">
        <v>83</v>
      </c>
      <c r="D520" s="1" t="s">
        <v>84</v>
      </c>
      <c r="E520" s="1" t="s">
        <v>17</v>
      </c>
      <c r="F520" s="1" t="s">
        <v>23</v>
      </c>
      <c r="G520" s="9">
        <v>162742157</v>
      </c>
      <c r="H520" s="1">
        <v>97</v>
      </c>
      <c r="I520" s="1">
        <v>65</v>
      </c>
      <c r="J520" s="5">
        <v>48.1</v>
      </c>
      <c r="K520" s="1" t="s">
        <v>20</v>
      </c>
      <c r="L520" s="1" t="s">
        <v>19</v>
      </c>
      <c r="M520" s="10">
        <f t="shared" si="72"/>
        <v>3383412.8274428272</v>
      </c>
      <c r="N520" s="10">
        <f t="shared" si="73"/>
        <v>1677754.1958762887</v>
      </c>
      <c r="O520" s="1">
        <f t="shared" si="74"/>
        <v>9</v>
      </c>
      <c r="P520" s="1">
        <f t="shared" si="75"/>
        <v>4</v>
      </c>
      <c r="Q520" s="1">
        <f t="shared" si="76"/>
        <v>5</v>
      </c>
      <c r="R520" s="6">
        <f t="shared" si="77"/>
        <v>0.59876543209876543</v>
      </c>
      <c r="S520" s="8">
        <f t="shared" si="78"/>
        <v>84.107514148235225</v>
      </c>
      <c r="T520" s="8">
        <f t="shared" si="79"/>
        <v>12.892485851764775</v>
      </c>
      <c r="U520" t="str">
        <f t="shared" si="80"/>
        <v>High</v>
      </c>
    </row>
    <row r="521" spans="1:21">
      <c r="A521" s="1">
        <v>746</v>
      </c>
      <c r="B521" s="2">
        <v>2017</v>
      </c>
      <c r="C521" s="1" t="s">
        <v>81</v>
      </c>
      <c r="D521" s="1" t="s">
        <v>82</v>
      </c>
      <c r="E521" s="1" t="s">
        <v>26</v>
      </c>
      <c r="F521" s="1" t="s">
        <v>27</v>
      </c>
      <c r="G521" s="9">
        <v>162353367</v>
      </c>
      <c r="H521" s="1">
        <v>76</v>
      </c>
      <c r="I521" s="1">
        <v>86</v>
      </c>
      <c r="J521" s="5">
        <v>29.7</v>
      </c>
      <c r="K521" s="1" t="s">
        <v>19</v>
      </c>
      <c r="L521" s="1" t="s">
        <v>19</v>
      </c>
      <c r="M521" s="10">
        <f t="shared" si="72"/>
        <v>5466443.333333333</v>
      </c>
      <c r="N521" s="10">
        <f t="shared" si="73"/>
        <v>2136228.5131578948</v>
      </c>
      <c r="O521" s="1">
        <f t="shared" si="74"/>
        <v>10</v>
      </c>
      <c r="P521" s="1">
        <f t="shared" si="75"/>
        <v>19</v>
      </c>
      <c r="Q521" s="1">
        <f t="shared" si="76"/>
        <v>-9</v>
      </c>
      <c r="R521" s="6">
        <f t="shared" si="77"/>
        <v>0.46913580246913578</v>
      </c>
      <c r="S521" s="8">
        <f t="shared" si="78"/>
        <v>84.073570811922039</v>
      </c>
      <c r="T521" s="8">
        <f t="shared" si="79"/>
        <v>-8.0735708119220391</v>
      </c>
      <c r="U521" t="str">
        <f t="shared" si="80"/>
        <v>High</v>
      </c>
    </row>
    <row r="522" spans="1:21">
      <c r="A522" s="1">
        <v>70</v>
      </c>
      <c r="B522" s="2">
        <v>2017</v>
      </c>
      <c r="C522" s="1" t="s">
        <v>24</v>
      </c>
      <c r="D522" s="1" t="s">
        <v>25</v>
      </c>
      <c r="E522" s="1" t="s">
        <v>26</v>
      </c>
      <c r="F522" s="1" t="s">
        <v>27</v>
      </c>
      <c r="G522" s="9">
        <v>161684185</v>
      </c>
      <c r="H522" s="1">
        <v>75</v>
      </c>
      <c r="I522" s="1">
        <v>87</v>
      </c>
      <c r="J522" s="5">
        <v>21.2</v>
      </c>
      <c r="K522" s="1" t="s">
        <v>19</v>
      </c>
      <c r="L522" s="1" t="s">
        <v>19</v>
      </c>
      <c r="M522" s="10">
        <f t="shared" si="72"/>
        <v>7626612.5</v>
      </c>
      <c r="N522" s="10">
        <f t="shared" si="73"/>
        <v>2155789.1333333333</v>
      </c>
      <c r="O522" s="1">
        <f t="shared" si="74"/>
        <v>11</v>
      </c>
      <c r="P522" s="1">
        <f t="shared" si="75"/>
        <v>20</v>
      </c>
      <c r="Q522" s="1">
        <f t="shared" si="76"/>
        <v>-9</v>
      </c>
      <c r="R522" s="6">
        <f t="shared" si="77"/>
        <v>0.46296296296296297</v>
      </c>
      <c r="S522" s="8">
        <f t="shared" si="78"/>
        <v>84.01514783375714</v>
      </c>
      <c r="T522" s="8">
        <f t="shared" si="79"/>
        <v>-9.0151478337571405</v>
      </c>
      <c r="U522" t="str">
        <f t="shared" si="80"/>
        <v>High</v>
      </c>
    </row>
    <row r="523" spans="1:21">
      <c r="A523" s="1">
        <v>642</v>
      </c>
      <c r="B523" s="2">
        <v>2017</v>
      </c>
      <c r="C523" s="1" t="s">
        <v>73</v>
      </c>
      <c r="D523" s="1" t="s">
        <v>74</v>
      </c>
      <c r="E523" s="1" t="s">
        <v>26</v>
      </c>
      <c r="F523" s="1" t="s">
        <v>46</v>
      </c>
      <c r="G523" s="9">
        <v>155207720</v>
      </c>
      <c r="H523" s="1">
        <v>78</v>
      </c>
      <c r="I523" s="1">
        <v>84</v>
      </c>
      <c r="J523" s="5">
        <v>31.7</v>
      </c>
      <c r="K523" s="1" t="s">
        <v>19</v>
      </c>
      <c r="L523" s="1" t="s">
        <v>19</v>
      </c>
      <c r="M523" s="10">
        <f t="shared" si="72"/>
        <v>4896142.5867507886</v>
      </c>
      <c r="N523" s="10">
        <f t="shared" si="73"/>
        <v>1989842.564102564</v>
      </c>
      <c r="O523" s="1">
        <f t="shared" si="74"/>
        <v>12</v>
      </c>
      <c r="P523" s="1">
        <f t="shared" si="75"/>
        <v>16</v>
      </c>
      <c r="Q523" s="1">
        <f t="shared" si="76"/>
        <v>-4</v>
      </c>
      <c r="R523" s="6">
        <f t="shared" si="77"/>
        <v>0.48148148148148145</v>
      </c>
      <c r="S523" s="8">
        <f t="shared" si="78"/>
        <v>83.449719634432142</v>
      </c>
      <c r="T523" s="8">
        <f t="shared" si="79"/>
        <v>-5.4497196344321424</v>
      </c>
      <c r="U523" t="str">
        <f t="shared" si="80"/>
        <v>High</v>
      </c>
    </row>
    <row r="524" spans="1:21">
      <c r="A524" s="1">
        <v>668</v>
      </c>
      <c r="B524" s="2">
        <v>2017</v>
      </c>
      <c r="C524" s="1" t="s">
        <v>75</v>
      </c>
      <c r="D524" s="1" t="s">
        <v>76</v>
      </c>
      <c r="E524" s="1" t="s">
        <v>17</v>
      </c>
      <c r="F524" s="1" t="s">
        <v>32</v>
      </c>
      <c r="G524" s="9">
        <v>146630000</v>
      </c>
      <c r="H524" s="1">
        <v>83</v>
      </c>
      <c r="I524" s="1">
        <v>79</v>
      </c>
      <c r="J524" s="5">
        <v>42.5</v>
      </c>
      <c r="K524" s="1" t="s">
        <v>19</v>
      </c>
      <c r="L524" s="1" t="s">
        <v>19</v>
      </c>
      <c r="M524" s="10">
        <f t="shared" si="72"/>
        <v>3450117.6470588236</v>
      </c>
      <c r="N524" s="10">
        <f t="shared" si="73"/>
        <v>1766626.5060240964</v>
      </c>
      <c r="O524" s="1">
        <f t="shared" si="74"/>
        <v>13</v>
      </c>
      <c r="P524" s="1">
        <f t="shared" si="75"/>
        <v>12</v>
      </c>
      <c r="Q524" s="1">
        <f t="shared" si="76"/>
        <v>1</v>
      </c>
      <c r="R524" s="6">
        <f t="shared" si="77"/>
        <v>0.51234567901234573</v>
      </c>
      <c r="S524" s="8">
        <f t="shared" si="78"/>
        <v>82.700841230254241</v>
      </c>
      <c r="T524" s="8">
        <f t="shared" si="79"/>
        <v>0.29915876974575895</v>
      </c>
      <c r="U524" t="str">
        <f t="shared" si="80"/>
        <v>Mid</v>
      </c>
    </row>
    <row r="525" spans="1:21">
      <c r="A525" s="1">
        <v>330</v>
      </c>
      <c r="B525" s="2">
        <v>2017</v>
      </c>
      <c r="C525" s="1" t="s">
        <v>49</v>
      </c>
      <c r="D525" s="1" t="s">
        <v>50</v>
      </c>
      <c r="E525" s="1" t="s">
        <v>26</v>
      </c>
      <c r="F525" s="1" t="s">
        <v>46</v>
      </c>
      <c r="G525" s="9">
        <v>143965833</v>
      </c>
      <c r="H525" s="1">
        <v>80</v>
      </c>
      <c r="I525" s="1">
        <v>82</v>
      </c>
      <c r="J525" s="5">
        <v>44.9</v>
      </c>
      <c r="K525" s="1" t="s">
        <v>19</v>
      </c>
      <c r="L525" s="1" t="s">
        <v>19</v>
      </c>
      <c r="M525" s="10">
        <f t="shared" si="72"/>
        <v>3206365.9910913142</v>
      </c>
      <c r="N525" s="10">
        <f t="shared" si="73"/>
        <v>1799572.9125000001</v>
      </c>
      <c r="O525" s="1">
        <f t="shared" si="74"/>
        <v>14</v>
      </c>
      <c r="P525" s="1">
        <f t="shared" si="75"/>
        <v>13</v>
      </c>
      <c r="Q525" s="1">
        <f t="shared" si="76"/>
        <v>1</v>
      </c>
      <c r="R525" s="6">
        <f t="shared" si="77"/>
        <v>0.49382716049382713</v>
      </c>
      <c r="S525" s="8">
        <f t="shared" si="78"/>
        <v>82.468245956519084</v>
      </c>
      <c r="T525" s="8">
        <f t="shared" si="79"/>
        <v>-2.468245956519084</v>
      </c>
      <c r="U525" t="str">
        <f t="shared" si="80"/>
        <v>Mid</v>
      </c>
    </row>
    <row r="526" spans="1:21">
      <c r="A526" s="1">
        <v>44</v>
      </c>
      <c r="B526" s="2">
        <v>2017</v>
      </c>
      <c r="C526" s="1" t="s">
        <v>21</v>
      </c>
      <c r="D526" s="1" t="s">
        <v>22</v>
      </c>
      <c r="E526" s="1" t="s">
        <v>17</v>
      </c>
      <c r="F526" s="1" t="s">
        <v>23</v>
      </c>
      <c r="G526" s="9">
        <v>137339527</v>
      </c>
      <c r="H526" s="1">
        <v>72</v>
      </c>
      <c r="I526" s="1">
        <v>90</v>
      </c>
      <c r="J526" s="5">
        <v>26.8</v>
      </c>
      <c r="K526" s="1" t="s">
        <v>19</v>
      </c>
      <c r="L526" s="1" t="s">
        <v>19</v>
      </c>
      <c r="M526" s="10">
        <f t="shared" si="72"/>
        <v>5124609.2164179105</v>
      </c>
      <c r="N526" s="10">
        <f t="shared" si="73"/>
        <v>1907493.4305555555</v>
      </c>
      <c r="O526" s="1">
        <f t="shared" si="74"/>
        <v>15</v>
      </c>
      <c r="P526" s="1">
        <f t="shared" si="75"/>
        <v>23</v>
      </c>
      <c r="Q526" s="1">
        <f t="shared" si="76"/>
        <v>-8</v>
      </c>
      <c r="R526" s="6">
        <f t="shared" si="77"/>
        <v>0.44444444444444442</v>
      </c>
      <c r="S526" s="8">
        <f t="shared" si="78"/>
        <v>81.889735878914024</v>
      </c>
      <c r="T526" s="8">
        <f t="shared" si="79"/>
        <v>-9.8897358789140242</v>
      </c>
      <c r="U526" t="str">
        <f t="shared" si="80"/>
        <v>Mid</v>
      </c>
    </row>
    <row r="527" spans="1:21">
      <c r="A527" s="1">
        <v>304</v>
      </c>
      <c r="B527" s="2">
        <v>2017</v>
      </c>
      <c r="C527" s="1" t="s">
        <v>47</v>
      </c>
      <c r="D527" s="1" t="s">
        <v>48</v>
      </c>
      <c r="E527" s="1" t="s">
        <v>26</v>
      </c>
      <c r="F527" s="1" t="s">
        <v>35</v>
      </c>
      <c r="G527" s="9">
        <v>132091916</v>
      </c>
      <c r="H527" s="1">
        <v>80</v>
      </c>
      <c r="I527" s="1">
        <v>82</v>
      </c>
      <c r="J527" s="5">
        <v>26.1</v>
      </c>
      <c r="K527" s="1" t="s">
        <v>19</v>
      </c>
      <c r="L527" s="1" t="s">
        <v>19</v>
      </c>
      <c r="M527" s="10">
        <f t="shared" si="72"/>
        <v>5060992.9501915704</v>
      </c>
      <c r="N527" s="10">
        <f t="shared" si="73"/>
        <v>1651148.95</v>
      </c>
      <c r="O527" s="1">
        <f t="shared" si="74"/>
        <v>16</v>
      </c>
      <c r="P527" s="1">
        <f t="shared" si="75"/>
        <v>13</v>
      </c>
      <c r="Q527" s="1">
        <f t="shared" si="76"/>
        <v>3</v>
      </c>
      <c r="R527" s="6">
        <f t="shared" si="77"/>
        <v>0.49382716049382713</v>
      </c>
      <c r="S527" s="8">
        <f t="shared" si="78"/>
        <v>81.431592858224789</v>
      </c>
      <c r="T527" s="8">
        <f t="shared" si="79"/>
        <v>-1.4315928582247892</v>
      </c>
      <c r="U527" t="str">
        <f t="shared" si="80"/>
        <v>Mid</v>
      </c>
    </row>
    <row r="528" spans="1:21">
      <c r="A528" s="1">
        <v>278</v>
      </c>
      <c r="B528" s="2">
        <v>2017</v>
      </c>
      <c r="C528" s="1" t="s">
        <v>44</v>
      </c>
      <c r="D528" s="1" t="s">
        <v>45</v>
      </c>
      <c r="E528" s="1" t="s">
        <v>26</v>
      </c>
      <c r="F528" s="1" t="s">
        <v>46</v>
      </c>
      <c r="G528" s="9">
        <v>127443900</v>
      </c>
      <c r="H528" s="1">
        <v>101</v>
      </c>
      <c r="I528" s="1">
        <v>61</v>
      </c>
      <c r="J528" s="5">
        <v>54.9</v>
      </c>
      <c r="K528" s="1" t="s">
        <v>20</v>
      </c>
      <c r="L528" s="1" t="s">
        <v>20</v>
      </c>
      <c r="M528" s="10">
        <f t="shared" si="72"/>
        <v>2321382.513661202</v>
      </c>
      <c r="N528" s="10">
        <f t="shared" si="73"/>
        <v>1261820.792079208</v>
      </c>
      <c r="O528" s="1">
        <f t="shared" si="74"/>
        <v>17</v>
      </c>
      <c r="P528" s="1">
        <f t="shared" si="75"/>
        <v>3</v>
      </c>
      <c r="Q528" s="1">
        <f t="shared" si="76"/>
        <v>14</v>
      </c>
      <c r="R528" s="6">
        <f t="shared" si="77"/>
        <v>0.62345679012345678</v>
      </c>
      <c r="S528" s="8">
        <f t="shared" si="78"/>
        <v>81.02579751812587</v>
      </c>
      <c r="T528" s="8">
        <f t="shared" si="79"/>
        <v>19.97420248187413</v>
      </c>
      <c r="U528" t="str">
        <f t="shared" si="80"/>
        <v>Mid</v>
      </c>
    </row>
    <row r="529" spans="1:21">
      <c r="A529" s="1">
        <v>200</v>
      </c>
      <c r="B529" s="2">
        <v>2017</v>
      </c>
      <c r="C529" s="1" t="s">
        <v>38</v>
      </c>
      <c r="D529" s="1" t="s">
        <v>39</v>
      </c>
      <c r="E529" s="1" t="s">
        <v>26</v>
      </c>
      <c r="F529" s="1" t="s">
        <v>35</v>
      </c>
      <c r="G529" s="9">
        <v>115991166</v>
      </c>
      <c r="H529" s="1">
        <v>102</v>
      </c>
      <c r="I529" s="1">
        <v>60</v>
      </c>
      <c r="J529" s="5">
        <v>57.2</v>
      </c>
      <c r="K529" s="1" t="s">
        <v>20</v>
      </c>
      <c r="L529" s="1" t="s">
        <v>19</v>
      </c>
      <c r="M529" s="10">
        <f t="shared" si="72"/>
        <v>2027817.5874125874</v>
      </c>
      <c r="N529" s="10">
        <f t="shared" si="73"/>
        <v>1137168.294117647</v>
      </c>
      <c r="O529" s="1">
        <f t="shared" si="74"/>
        <v>18</v>
      </c>
      <c r="P529" s="1">
        <f t="shared" si="75"/>
        <v>2</v>
      </c>
      <c r="Q529" s="1">
        <f t="shared" si="76"/>
        <v>16</v>
      </c>
      <c r="R529" s="6">
        <f t="shared" si="77"/>
        <v>0.62962962962962965</v>
      </c>
      <c r="S529" s="8">
        <f t="shared" si="78"/>
        <v>80.025915829122951</v>
      </c>
      <c r="T529" s="8">
        <f t="shared" si="79"/>
        <v>21.974084170877049</v>
      </c>
      <c r="U529" t="str">
        <f t="shared" si="80"/>
        <v>Mid</v>
      </c>
    </row>
    <row r="530" spans="1:21">
      <c r="A530" s="1">
        <v>382</v>
      </c>
      <c r="B530" s="2">
        <v>2017</v>
      </c>
      <c r="C530" s="1" t="s">
        <v>53</v>
      </c>
      <c r="D530" s="1" t="s">
        <v>54</v>
      </c>
      <c r="E530" s="1" t="s">
        <v>17</v>
      </c>
      <c r="F530" s="1" t="s">
        <v>23</v>
      </c>
      <c r="G530" s="9">
        <v>115348302</v>
      </c>
      <c r="H530" s="1">
        <v>77</v>
      </c>
      <c r="I530" s="1">
        <v>85</v>
      </c>
      <c r="J530" s="5">
        <v>31.3</v>
      </c>
      <c r="K530" s="1" t="s">
        <v>19</v>
      </c>
      <c r="L530" s="1" t="s">
        <v>19</v>
      </c>
      <c r="M530" s="10">
        <f t="shared" si="72"/>
        <v>3685249.2651757188</v>
      </c>
      <c r="N530" s="10">
        <f t="shared" si="73"/>
        <v>1498029.8961038962</v>
      </c>
      <c r="O530" s="1">
        <f t="shared" si="74"/>
        <v>19</v>
      </c>
      <c r="P530" s="1">
        <f t="shared" si="75"/>
        <v>18</v>
      </c>
      <c r="Q530" s="1">
        <f t="shared" si="76"/>
        <v>1</v>
      </c>
      <c r="R530" s="6">
        <f t="shared" si="77"/>
        <v>0.47530864197530864</v>
      </c>
      <c r="S530" s="8">
        <f t="shared" si="78"/>
        <v>79.969790545664949</v>
      </c>
      <c r="T530" s="8">
        <f t="shared" si="79"/>
        <v>-2.9697905456649494</v>
      </c>
      <c r="U530" t="str">
        <f t="shared" si="80"/>
        <v>Mid</v>
      </c>
    </row>
    <row r="531" spans="1:21">
      <c r="A531" s="1">
        <v>148</v>
      </c>
      <c r="B531" s="2">
        <v>2017</v>
      </c>
      <c r="C531" s="1" t="s">
        <v>33</v>
      </c>
      <c r="D531" s="1" t="s">
        <v>34</v>
      </c>
      <c r="E531" s="1" t="s">
        <v>26</v>
      </c>
      <c r="F531" s="1" t="s">
        <v>35</v>
      </c>
      <c r="G531" s="9">
        <v>109591167</v>
      </c>
      <c r="H531" s="1">
        <v>67</v>
      </c>
      <c r="I531" s="1">
        <v>95</v>
      </c>
      <c r="J531" s="5">
        <v>23.9</v>
      </c>
      <c r="K531" s="1" t="s">
        <v>19</v>
      </c>
      <c r="L531" s="1" t="s">
        <v>19</v>
      </c>
      <c r="M531" s="10">
        <f t="shared" si="72"/>
        <v>4585404.4769874476</v>
      </c>
      <c r="N531" s="10">
        <f t="shared" si="73"/>
        <v>1635689.0597014925</v>
      </c>
      <c r="O531" s="1">
        <f t="shared" si="74"/>
        <v>20</v>
      </c>
      <c r="P531" s="1">
        <f t="shared" si="75"/>
        <v>27</v>
      </c>
      <c r="Q531" s="1">
        <f t="shared" si="76"/>
        <v>-7</v>
      </c>
      <c r="R531" s="6">
        <f t="shared" si="77"/>
        <v>0.41358024691358025</v>
      </c>
      <c r="S531" s="8">
        <f t="shared" si="78"/>
        <v>79.467163498916307</v>
      </c>
      <c r="T531" s="8">
        <f t="shared" si="79"/>
        <v>-12.467163498916307</v>
      </c>
      <c r="U531" t="str">
        <f t="shared" si="80"/>
        <v>Mid</v>
      </c>
    </row>
    <row r="532" spans="1:21">
      <c r="A532" s="1">
        <v>226</v>
      </c>
      <c r="B532" s="2">
        <v>2017</v>
      </c>
      <c r="C532" s="1" t="s">
        <v>40</v>
      </c>
      <c r="D532" s="1" t="s">
        <v>41</v>
      </c>
      <c r="E532" s="1" t="s">
        <v>17</v>
      </c>
      <c r="F532" s="1" t="s">
        <v>18</v>
      </c>
      <c r="G532" s="9">
        <v>101513571</v>
      </c>
      <c r="H532" s="1">
        <v>87</v>
      </c>
      <c r="I532" s="1">
        <v>75</v>
      </c>
      <c r="J532" s="5">
        <v>34.200000000000003</v>
      </c>
      <c r="K532" s="1" t="s">
        <v>20</v>
      </c>
      <c r="L532" s="1" t="s">
        <v>19</v>
      </c>
      <c r="M532" s="10">
        <f t="shared" si="72"/>
        <v>2968233.0701754382</v>
      </c>
      <c r="N532" s="10">
        <f t="shared" si="73"/>
        <v>1166822.6551724137</v>
      </c>
      <c r="O532" s="1">
        <f t="shared" si="74"/>
        <v>21</v>
      </c>
      <c r="P532" s="1">
        <f t="shared" si="75"/>
        <v>9</v>
      </c>
      <c r="Q532" s="1">
        <f t="shared" si="76"/>
        <v>12</v>
      </c>
      <c r="R532" s="6">
        <f t="shared" si="77"/>
        <v>0.53703703703703709</v>
      </c>
      <c r="S532" s="8">
        <f t="shared" si="78"/>
        <v>78.761948453184587</v>
      </c>
      <c r="T532" s="8">
        <f t="shared" si="79"/>
        <v>8.238051546815413</v>
      </c>
      <c r="U532" t="str">
        <f t="shared" si="80"/>
        <v>Mid</v>
      </c>
    </row>
    <row r="533" spans="1:21">
      <c r="A533" s="1">
        <v>434</v>
      </c>
      <c r="B533" s="2">
        <v>2017</v>
      </c>
      <c r="C533" s="1" t="s">
        <v>57</v>
      </c>
      <c r="D533" s="1" t="s">
        <v>58</v>
      </c>
      <c r="E533" s="1" t="s">
        <v>26</v>
      </c>
      <c r="F533" s="1" t="s">
        <v>35</v>
      </c>
      <c r="G533" s="9">
        <v>100787500</v>
      </c>
      <c r="H533" s="1">
        <v>85</v>
      </c>
      <c r="I533" s="1">
        <v>77</v>
      </c>
      <c r="J533" s="5">
        <v>38.6</v>
      </c>
      <c r="K533" s="1" t="s">
        <v>20</v>
      </c>
      <c r="L533" s="1" t="s">
        <v>19</v>
      </c>
      <c r="M533" s="10">
        <f t="shared" si="72"/>
        <v>2611075.1295336788</v>
      </c>
      <c r="N533" s="10">
        <f t="shared" si="73"/>
        <v>1185735.294117647</v>
      </c>
      <c r="O533" s="1">
        <f t="shared" si="74"/>
        <v>22</v>
      </c>
      <c r="P533" s="1">
        <f t="shared" si="75"/>
        <v>11</v>
      </c>
      <c r="Q533" s="1">
        <f t="shared" si="76"/>
        <v>11</v>
      </c>
      <c r="R533" s="6">
        <f t="shared" si="77"/>
        <v>0.52469135802469136</v>
      </c>
      <c r="S533" s="8">
        <f t="shared" si="78"/>
        <v>78.69855877716347</v>
      </c>
      <c r="T533" s="8">
        <f t="shared" si="79"/>
        <v>6.3014412228365302</v>
      </c>
      <c r="U533" t="str">
        <f t="shared" si="80"/>
        <v>Mid</v>
      </c>
    </row>
    <row r="534" spans="1:21">
      <c r="A534" s="1">
        <v>564</v>
      </c>
      <c r="B534" s="2">
        <v>2017</v>
      </c>
      <c r="C534" s="1" t="s">
        <v>67</v>
      </c>
      <c r="D534" s="1" t="s">
        <v>68</v>
      </c>
      <c r="E534" s="1" t="s">
        <v>17</v>
      </c>
      <c r="F534" s="1" t="s">
        <v>32</v>
      </c>
      <c r="G534" s="9">
        <v>94637833</v>
      </c>
      <c r="H534" s="1">
        <v>75</v>
      </c>
      <c r="I534" s="1">
        <v>87</v>
      </c>
      <c r="J534" s="5">
        <v>28.4</v>
      </c>
      <c r="K534" s="1" t="s">
        <v>19</v>
      </c>
      <c r="L534" s="1" t="s">
        <v>19</v>
      </c>
      <c r="M534" s="10">
        <f t="shared" si="72"/>
        <v>3332318.0633802819</v>
      </c>
      <c r="N534" s="10">
        <f t="shared" si="73"/>
        <v>1261837.7733333334</v>
      </c>
      <c r="O534" s="1">
        <f t="shared" si="74"/>
        <v>23</v>
      </c>
      <c r="P534" s="1">
        <f t="shared" si="75"/>
        <v>20</v>
      </c>
      <c r="Q534" s="1">
        <f t="shared" si="76"/>
        <v>3</v>
      </c>
      <c r="R534" s="6">
        <f t="shared" si="77"/>
        <v>0.46296296296296297</v>
      </c>
      <c r="S534" s="8">
        <f t="shared" si="78"/>
        <v>78.161661698547519</v>
      </c>
      <c r="T534" s="8">
        <f t="shared" si="79"/>
        <v>-3.161661698547519</v>
      </c>
      <c r="U534" t="str">
        <f t="shared" si="80"/>
        <v>Mid</v>
      </c>
    </row>
    <row r="535" spans="1:21">
      <c r="A535" s="1">
        <v>18</v>
      </c>
      <c r="B535" s="2">
        <v>2017</v>
      </c>
      <c r="C535" s="1" t="s">
        <v>15</v>
      </c>
      <c r="D535" s="1" t="s">
        <v>16</v>
      </c>
      <c r="E535" s="1" t="s">
        <v>17</v>
      </c>
      <c r="F535" s="1" t="s">
        <v>18</v>
      </c>
      <c r="G535" s="9">
        <v>90730499</v>
      </c>
      <c r="H535" s="1">
        <v>93</v>
      </c>
      <c r="I535" s="1">
        <v>69</v>
      </c>
      <c r="J535" s="5">
        <v>45.4</v>
      </c>
      <c r="K535" s="1" t="s">
        <v>20</v>
      </c>
      <c r="L535" s="1" t="s">
        <v>19</v>
      </c>
      <c r="M535" s="10">
        <f t="shared" si="72"/>
        <v>1998469.140969163</v>
      </c>
      <c r="N535" s="10">
        <f t="shared" si="73"/>
        <v>975596.7634408602</v>
      </c>
      <c r="O535" s="1">
        <f t="shared" si="74"/>
        <v>24</v>
      </c>
      <c r="P535" s="1">
        <f t="shared" si="75"/>
        <v>5</v>
      </c>
      <c r="Q535" s="1">
        <f t="shared" si="76"/>
        <v>19</v>
      </c>
      <c r="R535" s="6">
        <f t="shared" si="77"/>
        <v>0.57407407407407407</v>
      </c>
      <c r="S535" s="8">
        <f t="shared" si="78"/>
        <v>77.820531648777873</v>
      </c>
      <c r="T535" s="8">
        <f t="shared" si="79"/>
        <v>15.179468351222127</v>
      </c>
      <c r="U535" t="str">
        <f t="shared" si="80"/>
        <v>Mid</v>
      </c>
    </row>
    <row r="536" spans="1:21">
      <c r="A536" s="1">
        <v>538</v>
      </c>
      <c r="B536" s="2">
        <v>2017</v>
      </c>
      <c r="C536" s="1" t="s">
        <v>65</v>
      </c>
      <c r="D536" s="1" t="s">
        <v>66</v>
      </c>
      <c r="E536" s="1" t="s">
        <v>17</v>
      </c>
      <c r="F536" s="1" t="s">
        <v>23</v>
      </c>
      <c r="G536" s="9">
        <v>87418378</v>
      </c>
      <c r="H536" s="1">
        <v>66</v>
      </c>
      <c r="I536" s="1">
        <v>96</v>
      </c>
      <c r="J536" s="5">
        <v>21.5</v>
      </c>
      <c r="K536" s="1" t="s">
        <v>19</v>
      </c>
      <c r="L536" s="1" t="s">
        <v>19</v>
      </c>
      <c r="M536" s="10">
        <f t="shared" si="72"/>
        <v>4065971.0697674421</v>
      </c>
      <c r="N536" s="10">
        <f t="shared" si="73"/>
        <v>1324520.8787878789</v>
      </c>
      <c r="O536" s="1">
        <f t="shared" si="74"/>
        <v>25</v>
      </c>
      <c r="P536" s="1">
        <f t="shared" si="75"/>
        <v>28</v>
      </c>
      <c r="Q536" s="1">
        <f t="shared" si="76"/>
        <v>-3</v>
      </c>
      <c r="R536" s="6">
        <f t="shared" si="77"/>
        <v>0.40740740740740738</v>
      </c>
      <c r="S536" s="8">
        <f t="shared" si="78"/>
        <v>77.531366708802665</v>
      </c>
      <c r="T536" s="8">
        <f t="shared" si="79"/>
        <v>-11.531366708802665</v>
      </c>
      <c r="U536" t="str">
        <f t="shared" si="80"/>
        <v>Mid</v>
      </c>
    </row>
    <row r="537" spans="1:21">
      <c r="A537" s="1">
        <v>174</v>
      </c>
      <c r="B537" s="2">
        <v>2017</v>
      </c>
      <c r="C537" s="1" t="s">
        <v>36</v>
      </c>
      <c r="D537" s="1" t="s">
        <v>37</v>
      </c>
      <c r="E537" s="1" t="s">
        <v>17</v>
      </c>
      <c r="F537" s="1" t="s">
        <v>32</v>
      </c>
      <c r="G537" s="9">
        <v>82375785</v>
      </c>
      <c r="H537" s="1">
        <v>68</v>
      </c>
      <c r="I537" s="1">
        <v>94</v>
      </c>
      <c r="J537" s="5">
        <v>25.8</v>
      </c>
      <c r="K537" s="1" t="s">
        <v>19</v>
      </c>
      <c r="L537" s="1" t="s">
        <v>19</v>
      </c>
      <c r="M537" s="10">
        <f t="shared" si="72"/>
        <v>3192859.8837209302</v>
      </c>
      <c r="N537" s="10">
        <f t="shared" si="73"/>
        <v>1211408.6029411764</v>
      </c>
      <c r="O537" s="1">
        <f t="shared" si="74"/>
        <v>26</v>
      </c>
      <c r="P537" s="1">
        <f t="shared" si="75"/>
        <v>26</v>
      </c>
      <c r="Q537" s="1">
        <f t="shared" si="76"/>
        <v>0</v>
      </c>
      <c r="R537" s="6">
        <f t="shared" si="77"/>
        <v>0.41975308641975306</v>
      </c>
      <c r="S537" s="8">
        <f t="shared" si="78"/>
        <v>77.091122797978031</v>
      </c>
      <c r="T537" s="8">
        <f t="shared" si="79"/>
        <v>-9.0911227979780307</v>
      </c>
      <c r="U537" t="str">
        <f t="shared" si="80"/>
        <v>Mid</v>
      </c>
    </row>
    <row r="538" spans="1:21">
      <c r="A538" s="1">
        <v>512</v>
      </c>
      <c r="B538" s="2">
        <v>2017</v>
      </c>
      <c r="C538" s="1" t="s">
        <v>63</v>
      </c>
      <c r="D538" s="1" t="s">
        <v>64</v>
      </c>
      <c r="E538" s="1" t="s">
        <v>26</v>
      </c>
      <c r="F538" s="1" t="s">
        <v>46</v>
      </c>
      <c r="G538" s="9">
        <v>70601667</v>
      </c>
      <c r="H538" s="1">
        <v>75</v>
      </c>
      <c r="I538" s="1">
        <v>87</v>
      </c>
      <c r="J538" s="5">
        <v>31.4</v>
      </c>
      <c r="K538" s="1" t="s">
        <v>19</v>
      </c>
      <c r="L538" s="1" t="s">
        <v>19</v>
      </c>
      <c r="M538" s="10">
        <f t="shared" si="72"/>
        <v>2248460.7324840766</v>
      </c>
      <c r="N538" s="10">
        <f t="shared" si="73"/>
        <v>941355.56</v>
      </c>
      <c r="O538" s="1">
        <f t="shared" si="74"/>
        <v>27</v>
      </c>
      <c r="P538" s="1">
        <f t="shared" si="75"/>
        <v>20</v>
      </c>
      <c r="Q538" s="1">
        <f t="shared" si="76"/>
        <v>7</v>
      </c>
      <c r="R538" s="6">
        <f t="shared" si="77"/>
        <v>0.46296296296296297</v>
      </c>
      <c r="S538" s="8">
        <f t="shared" si="78"/>
        <v>76.063182657889257</v>
      </c>
      <c r="T538" s="8">
        <f t="shared" si="79"/>
        <v>-1.0631826578892571</v>
      </c>
      <c r="U538" t="str">
        <f t="shared" si="80"/>
        <v>Low</v>
      </c>
    </row>
    <row r="539" spans="1:21">
      <c r="A539" s="1">
        <v>694</v>
      </c>
      <c r="B539" s="2">
        <v>2017</v>
      </c>
      <c r="C539" s="1" t="s">
        <v>77</v>
      </c>
      <c r="D539" s="1" t="s">
        <v>78</v>
      </c>
      <c r="E539" s="1" t="s">
        <v>26</v>
      </c>
      <c r="F539" s="1" t="s">
        <v>27</v>
      </c>
      <c r="G539" s="9">
        <v>69982520</v>
      </c>
      <c r="H539" s="1">
        <v>80</v>
      </c>
      <c r="I539" s="1">
        <v>82</v>
      </c>
      <c r="J539" s="5">
        <v>43.1</v>
      </c>
      <c r="K539" s="1" t="s">
        <v>19</v>
      </c>
      <c r="L539" s="1" t="s">
        <v>19</v>
      </c>
      <c r="M539" s="10">
        <f t="shared" si="72"/>
        <v>1623724.3619489558</v>
      </c>
      <c r="N539" s="10">
        <f t="shared" si="73"/>
        <v>874781.5</v>
      </c>
      <c r="O539" s="1">
        <f t="shared" si="74"/>
        <v>28</v>
      </c>
      <c r="P539" s="1">
        <f t="shared" si="75"/>
        <v>13</v>
      </c>
      <c r="Q539" s="1">
        <f t="shared" si="76"/>
        <v>15</v>
      </c>
      <c r="R539" s="6">
        <f t="shared" si="77"/>
        <v>0.49382716049382713</v>
      </c>
      <c r="S539" s="8">
        <f t="shared" si="78"/>
        <v>76.009127988663451</v>
      </c>
      <c r="T539" s="8">
        <f t="shared" si="79"/>
        <v>3.990872011336549</v>
      </c>
      <c r="U539" t="str">
        <f t="shared" si="80"/>
        <v>Low</v>
      </c>
    </row>
    <row r="540" spans="1:21">
      <c r="A540" s="1">
        <v>408</v>
      </c>
      <c r="B540" s="2">
        <v>2017</v>
      </c>
      <c r="C540" s="1" t="s">
        <v>55</v>
      </c>
      <c r="D540" s="1" t="s">
        <v>56</v>
      </c>
      <c r="E540" s="1" t="s">
        <v>17</v>
      </c>
      <c r="F540" s="1" t="s">
        <v>32</v>
      </c>
      <c r="G540" s="9">
        <v>61020089</v>
      </c>
      <c r="H540" s="1">
        <v>86</v>
      </c>
      <c r="I540" s="1">
        <v>76</v>
      </c>
      <c r="J540" s="5">
        <v>36.6</v>
      </c>
      <c r="K540" s="1" t="s">
        <v>19</v>
      </c>
      <c r="L540" s="1" t="s">
        <v>19</v>
      </c>
      <c r="M540" s="10">
        <f t="shared" si="72"/>
        <v>1667215.5464480873</v>
      </c>
      <c r="N540" s="10">
        <f t="shared" si="73"/>
        <v>709535.91860465112</v>
      </c>
      <c r="O540" s="1">
        <f t="shared" si="74"/>
        <v>29</v>
      </c>
      <c r="P540" s="1">
        <f t="shared" si="75"/>
        <v>10</v>
      </c>
      <c r="Q540" s="1">
        <f t="shared" si="76"/>
        <v>19</v>
      </c>
      <c r="R540" s="6">
        <f t="shared" si="77"/>
        <v>0.53086419753086422</v>
      </c>
      <c r="S540" s="8">
        <f t="shared" si="78"/>
        <v>75.226662365533457</v>
      </c>
      <c r="T540" s="8">
        <f t="shared" si="79"/>
        <v>10.773337634466543</v>
      </c>
      <c r="U540" t="str">
        <f t="shared" si="80"/>
        <v>Low</v>
      </c>
    </row>
    <row r="541" spans="1:21">
      <c r="A541" s="1">
        <v>590</v>
      </c>
      <c r="B541" s="2">
        <v>2017</v>
      </c>
      <c r="C541" s="1" t="s">
        <v>69</v>
      </c>
      <c r="D541" s="1" t="s">
        <v>70</v>
      </c>
      <c r="E541" s="1" t="s">
        <v>17</v>
      </c>
      <c r="F541" s="1" t="s">
        <v>18</v>
      </c>
      <c r="G541" s="9">
        <v>34574400</v>
      </c>
      <c r="H541" s="1">
        <v>71</v>
      </c>
      <c r="I541" s="1">
        <v>91</v>
      </c>
      <c r="J541" s="5">
        <v>24.5</v>
      </c>
      <c r="K541" s="1" t="s">
        <v>19</v>
      </c>
      <c r="L541" s="1" t="s">
        <v>19</v>
      </c>
      <c r="M541" s="10">
        <f t="shared" si="72"/>
        <v>1411200</v>
      </c>
      <c r="N541" s="10">
        <f t="shared" si="73"/>
        <v>486963.38028169016</v>
      </c>
      <c r="O541" s="1">
        <f t="shared" si="74"/>
        <v>30</v>
      </c>
      <c r="P541" s="1">
        <f t="shared" si="75"/>
        <v>24</v>
      </c>
      <c r="Q541" s="1">
        <f t="shared" si="76"/>
        <v>6</v>
      </c>
      <c r="R541" s="6">
        <f t="shared" si="77"/>
        <v>0.43827160493827161</v>
      </c>
      <c r="S541" s="8">
        <f t="shared" si="78"/>
        <v>72.917819762172044</v>
      </c>
      <c r="T541" s="8">
        <f t="shared" si="79"/>
        <v>-1.9178197621720443</v>
      </c>
      <c r="U541" t="str">
        <f t="shared" si="80"/>
        <v>Low</v>
      </c>
    </row>
    <row r="542" spans="1:21">
      <c r="A542" s="1">
        <v>97</v>
      </c>
      <c r="B542" s="2">
        <v>2018</v>
      </c>
      <c r="C542" s="1" t="s">
        <v>28</v>
      </c>
      <c r="D542" s="1" t="s">
        <v>29</v>
      </c>
      <c r="E542" s="1" t="s">
        <v>26</v>
      </c>
      <c r="F542" s="1" t="s">
        <v>27</v>
      </c>
      <c r="G542" s="9">
        <v>223649368</v>
      </c>
      <c r="H542" s="1">
        <v>108</v>
      </c>
      <c r="I542" s="1">
        <v>54</v>
      </c>
      <c r="J542" s="5">
        <v>56.5</v>
      </c>
      <c r="K542" s="1" t="s">
        <v>20</v>
      </c>
      <c r="L542" s="1" t="s">
        <v>20</v>
      </c>
      <c r="M542" s="10">
        <f t="shared" si="72"/>
        <v>3958395.8938053097</v>
      </c>
      <c r="N542" s="10">
        <f t="shared" si="73"/>
        <v>2070827.4814814816</v>
      </c>
      <c r="O542" s="1">
        <f t="shared" si="74"/>
        <v>1</v>
      </c>
      <c r="P542" s="1">
        <f t="shared" si="75"/>
        <v>1</v>
      </c>
      <c r="Q542" s="1">
        <f t="shared" si="76"/>
        <v>0</v>
      </c>
      <c r="R542" s="6">
        <f t="shared" si="77"/>
        <v>0.66666666666666663</v>
      </c>
      <c r="S542" s="8">
        <f t="shared" si="78"/>
        <v>89.425022177945579</v>
      </c>
      <c r="T542" s="8">
        <f t="shared" si="79"/>
        <v>18.574977822054421</v>
      </c>
      <c r="U542" t="str">
        <f t="shared" si="80"/>
        <v>High</v>
      </c>
    </row>
    <row r="543" spans="1:21">
      <c r="A543" s="1">
        <v>617</v>
      </c>
      <c r="B543" s="2">
        <v>2018</v>
      </c>
      <c r="C543" s="1" t="s">
        <v>71</v>
      </c>
      <c r="D543" s="1" t="s">
        <v>72</v>
      </c>
      <c r="E543" s="1" t="s">
        <v>17</v>
      </c>
      <c r="F543" s="1" t="s">
        <v>18</v>
      </c>
      <c r="G543" s="9">
        <v>208509901</v>
      </c>
      <c r="H543" s="1">
        <v>73</v>
      </c>
      <c r="I543" s="1">
        <v>89</v>
      </c>
      <c r="J543" s="5">
        <v>20.8</v>
      </c>
      <c r="K543" s="1" t="s">
        <v>19</v>
      </c>
      <c r="L543" s="1" t="s">
        <v>19</v>
      </c>
      <c r="M543" s="10">
        <f t="shared" si="72"/>
        <v>10024514.471153846</v>
      </c>
      <c r="N543" s="10">
        <f t="shared" si="73"/>
        <v>2856300.01369863</v>
      </c>
      <c r="O543" s="1">
        <f t="shared" si="74"/>
        <v>2</v>
      </c>
      <c r="P543" s="1">
        <f t="shared" si="75"/>
        <v>21</v>
      </c>
      <c r="Q543" s="1">
        <f t="shared" si="76"/>
        <v>-19</v>
      </c>
      <c r="R543" s="6">
        <f t="shared" si="77"/>
        <v>0.45061728395061729</v>
      </c>
      <c r="S543" s="8">
        <f t="shared" si="78"/>
        <v>88.1032700238692</v>
      </c>
      <c r="T543" s="8">
        <f t="shared" si="79"/>
        <v>-15.1032700238692</v>
      </c>
      <c r="U543" t="str">
        <f t="shared" si="80"/>
        <v>High</v>
      </c>
    </row>
    <row r="544" spans="1:21">
      <c r="A544" s="1">
        <v>357</v>
      </c>
      <c r="B544" s="2">
        <v>2018</v>
      </c>
      <c r="C544" s="1" t="s">
        <v>51</v>
      </c>
      <c r="D544" s="1" t="s">
        <v>52</v>
      </c>
      <c r="E544" s="1" t="s">
        <v>17</v>
      </c>
      <c r="F544" s="1" t="s">
        <v>18</v>
      </c>
      <c r="G544" s="9">
        <v>186138211</v>
      </c>
      <c r="H544" s="1">
        <v>92</v>
      </c>
      <c r="I544" s="1">
        <v>71</v>
      </c>
      <c r="J544" s="5">
        <v>49.9</v>
      </c>
      <c r="K544" s="1" t="s">
        <v>20</v>
      </c>
      <c r="L544" s="1" t="s">
        <v>19</v>
      </c>
      <c r="M544" s="10">
        <f t="shared" si="72"/>
        <v>3730224.6693386775</v>
      </c>
      <c r="N544" s="10">
        <f t="shared" si="73"/>
        <v>2023241.4239130435</v>
      </c>
      <c r="O544" s="1">
        <f t="shared" si="74"/>
        <v>3</v>
      </c>
      <c r="P544" s="1">
        <f t="shared" si="75"/>
        <v>7</v>
      </c>
      <c r="Q544" s="1">
        <f t="shared" si="76"/>
        <v>-4</v>
      </c>
      <c r="R544" s="6">
        <f t="shared" si="77"/>
        <v>0.56441717791411039</v>
      </c>
      <c r="S544" s="8">
        <f t="shared" si="78"/>
        <v>86.150108168975024</v>
      </c>
      <c r="T544" s="8">
        <f t="shared" si="79"/>
        <v>5.8498918310249763</v>
      </c>
      <c r="U544" t="str">
        <f t="shared" si="80"/>
        <v>High</v>
      </c>
    </row>
    <row r="545" spans="1:21">
      <c r="A545" s="1">
        <v>123</v>
      </c>
      <c r="B545" s="2">
        <v>2018</v>
      </c>
      <c r="C545" s="1" t="s">
        <v>30</v>
      </c>
      <c r="D545" s="1" t="s">
        <v>31</v>
      </c>
      <c r="E545" s="1" t="s">
        <v>17</v>
      </c>
      <c r="F545" s="1" t="s">
        <v>32</v>
      </c>
      <c r="G545" s="9">
        <v>183463459</v>
      </c>
      <c r="H545" s="1">
        <v>95</v>
      </c>
      <c r="I545" s="1">
        <v>68</v>
      </c>
      <c r="J545" s="5">
        <v>45</v>
      </c>
      <c r="K545" s="1" t="s">
        <v>20</v>
      </c>
      <c r="L545" s="1" t="s">
        <v>19</v>
      </c>
      <c r="M545" s="10">
        <f t="shared" si="72"/>
        <v>4076965.7555555557</v>
      </c>
      <c r="N545" s="10">
        <f t="shared" si="73"/>
        <v>1931194.3052631579</v>
      </c>
      <c r="O545" s="1">
        <f t="shared" si="74"/>
        <v>4</v>
      </c>
      <c r="P545" s="1">
        <f t="shared" si="75"/>
        <v>6</v>
      </c>
      <c r="Q545" s="1">
        <f t="shared" si="76"/>
        <v>-2</v>
      </c>
      <c r="R545" s="6">
        <f t="shared" si="77"/>
        <v>0.58282208588957052</v>
      </c>
      <c r="S545" s="8">
        <f t="shared" si="78"/>
        <v>85.916588771124353</v>
      </c>
      <c r="T545" s="8">
        <f t="shared" si="79"/>
        <v>9.0834112288756472</v>
      </c>
      <c r="U545" t="str">
        <f t="shared" si="80"/>
        <v>High</v>
      </c>
    </row>
    <row r="546" spans="1:21">
      <c r="A546" s="1">
        <v>773</v>
      </c>
      <c r="B546" s="2">
        <v>2018</v>
      </c>
      <c r="C546" s="1" t="s">
        <v>83</v>
      </c>
      <c r="D546" s="1" t="s">
        <v>84</v>
      </c>
      <c r="E546" s="1" t="s">
        <v>17</v>
      </c>
      <c r="F546" s="1" t="s">
        <v>23</v>
      </c>
      <c r="G546" s="9">
        <v>181586759</v>
      </c>
      <c r="H546" s="1">
        <v>82</v>
      </c>
      <c r="I546" s="1">
        <v>80</v>
      </c>
      <c r="J546" s="5">
        <v>39.700000000000003</v>
      </c>
      <c r="K546" s="1" t="s">
        <v>19</v>
      </c>
      <c r="L546" s="1" t="s">
        <v>19</v>
      </c>
      <c r="M546" s="10">
        <f t="shared" si="72"/>
        <v>4573973.7783375308</v>
      </c>
      <c r="N546" s="10">
        <f t="shared" si="73"/>
        <v>2214472.6707317075</v>
      </c>
      <c r="O546" s="1">
        <f t="shared" si="74"/>
        <v>5</v>
      </c>
      <c r="P546" s="1">
        <f t="shared" si="75"/>
        <v>14</v>
      </c>
      <c r="Q546" s="1">
        <f t="shared" si="76"/>
        <v>-9</v>
      </c>
      <c r="R546" s="6">
        <f t="shared" si="77"/>
        <v>0.50617283950617287</v>
      </c>
      <c r="S546" s="8">
        <f t="shared" si="78"/>
        <v>85.752743355195562</v>
      </c>
      <c r="T546" s="8">
        <f t="shared" si="79"/>
        <v>-3.7527433551955625</v>
      </c>
      <c r="U546" t="str">
        <f t="shared" si="80"/>
        <v>High</v>
      </c>
    </row>
    <row r="547" spans="1:21">
      <c r="A547" s="1">
        <v>331</v>
      </c>
      <c r="B547" s="2">
        <v>2018</v>
      </c>
      <c r="C547" s="1" t="s">
        <v>49</v>
      </c>
      <c r="D547" s="1" t="s">
        <v>50</v>
      </c>
      <c r="E547" s="1" t="s">
        <v>26</v>
      </c>
      <c r="F547" s="1" t="s">
        <v>46</v>
      </c>
      <c r="G547" s="9">
        <v>174592209</v>
      </c>
      <c r="H547" s="1">
        <v>80</v>
      </c>
      <c r="I547" s="1">
        <v>82</v>
      </c>
      <c r="J547" s="5">
        <v>35.1</v>
      </c>
      <c r="K547" s="1" t="s">
        <v>19</v>
      </c>
      <c r="L547" s="1" t="s">
        <v>19</v>
      </c>
      <c r="M547" s="10">
        <f t="shared" si="72"/>
        <v>4974137.008547008</v>
      </c>
      <c r="N547" s="10">
        <f t="shared" si="73"/>
        <v>2182402.6124999998</v>
      </c>
      <c r="O547" s="1">
        <f t="shared" si="74"/>
        <v>6</v>
      </c>
      <c r="P547" s="1">
        <f t="shared" si="75"/>
        <v>17</v>
      </c>
      <c r="Q547" s="1">
        <f t="shared" si="76"/>
        <v>-11</v>
      </c>
      <c r="R547" s="6">
        <f t="shared" si="77"/>
        <v>0.49382716049382713</v>
      </c>
      <c r="S547" s="8">
        <f t="shared" si="78"/>
        <v>85.142083711147663</v>
      </c>
      <c r="T547" s="8">
        <f t="shared" si="79"/>
        <v>-5.1420837111476629</v>
      </c>
      <c r="U547" t="str">
        <f t="shared" si="80"/>
        <v>High</v>
      </c>
    </row>
    <row r="548" spans="1:21">
      <c r="A548" s="1">
        <v>487</v>
      </c>
      <c r="B548" s="2">
        <v>2018</v>
      </c>
      <c r="C548" s="1" t="s">
        <v>61</v>
      </c>
      <c r="D548" s="1" t="s">
        <v>62</v>
      </c>
      <c r="E548" s="1" t="s">
        <v>26</v>
      </c>
      <c r="F548" s="1" t="s">
        <v>27</v>
      </c>
      <c r="G548" s="9">
        <v>168541038</v>
      </c>
      <c r="H548" s="1">
        <v>100</v>
      </c>
      <c r="I548" s="1">
        <v>62</v>
      </c>
      <c r="J548" s="5">
        <v>51.3</v>
      </c>
      <c r="K548" s="1" t="s">
        <v>20</v>
      </c>
      <c r="L548" s="1" t="s">
        <v>19</v>
      </c>
      <c r="M548" s="10">
        <f t="shared" si="72"/>
        <v>3285400.3508771933</v>
      </c>
      <c r="N548" s="10">
        <f t="shared" si="73"/>
        <v>1685410.38</v>
      </c>
      <c r="O548" s="1">
        <f t="shared" si="74"/>
        <v>7</v>
      </c>
      <c r="P548" s="1">
        <f t="shared" si="75"/>
        <v>3</v>
      </c>
      <c r="Q548" s="1">
        <f t="shared" si="76"/>
        <v>4</v>
      </c>
      <c r="R548" s="6">
        <f t="shared" si="77"/>
        <v>0.61728395061728392</v>
      </c>
      <c r="S548" s="8">
        <f t="shared" si="78"/>
        <v>84.613785832237227</v>
      </c>
      <c r="T548" s="8">
        <f t="shared" si="79"/>
        <v>15.386214167762773</v>
      </c>
      <c r="U548" t="str">
        <f t="shared" si="80"/>
        <v>High</v>
      </c>
    </row>
    <row r="549" spans="1:21">
      <c r="A549" s="1">
        <v>747</v>
      </c>
      <c r="B549" s="2">
        <v>2018</v>
      </c>
      <c r="C549" s="1" t="s">
        <v>81</v>
      </c>
      <c r="D549" s="1" t="s">
        <v>82</v>
      </c>
      <c r="E549" s="1" t="s">
        <v>26</v>
      </c>
      <c r="F549" s="1" t="s">
        <v>27</v>
      </c>
      <c r="G549" s="9">
        <v>162664502</v>
      </c>
      <c r="H549" s="1">
        <v>73</v>
      </c>
      <c r="I549" s="1">
        <v>89</v>
      </c>
      <c r="J549" s="5">
        <v>27.4</v>
      </c>
      <c r="K549" s="1" t="s">
        <v>19</v>
      </c>
      <c r="L549" s="1" t="s">
        <v>19</v>
      </c>
      <c r="M549" s="10">
        <f t="shared" si="72"/>
        <v>5936660.656934307</v>
      </c>
      <c r="N549" s="10">
        <f t="shared" si="73"/>
        <v>2228280.8493150687</v>
      </c>
      <c r="O549" s="1">
        <f t="shared" si="74"/>
        <v>8</v>
      </c>
      <c r="P549" s="1">
        <f t="shared" si="75"/>
        <v>21</v>
      </c>
      <c r="Q549" s="1">
        <f t="shared" si="76"/>
        <v>-13</v>
      </c>
      <c r="R549" s="6">
        <f t="shared" si="77"/>
        <v>0.45061728395061729</v>
      </c>
      <c r="S549" s="8">
        <f t="shared" si="78"/>
        <v>84.100734473394311</v>
      </c>
      <c r="T549" s="8">
        <f t="shared" si="79"/>
        <v>-11.100734473394311</v>
      </c>
      <c r="U549" t="str">
        <f t="shared" si="80"/>
        <v>High</v>
      </c>
    </row>
    <row r="550" spans="1:21">
      <c r="A550" s="1">
        <v>643</v>
      </c>
      <c r="B550" s="2">
        <v>2018</v>
      </c>
      <c r="C550" s="1" t="s">
        <v>73</v>
      </c>
      <c r="D550" s="1" t="s">
        <v>74</v>
      </c>
      <c r="E550" s="1" t="s">
        <v>26</v>
      </c>
      <c r="F550" s="1" t="s">
        <v>46</v>
      </c>
      <c r="G550" s="9">
        <v>162480174</v>
      </c>
      <c r="H550" s="1">
        <v>89</v>
      </c>
      <c r="I550" s="1">
        <v>73</v>
      </c>
      <c r="J550" s="5">
        <v>35.700000000000003</v>
      </c>
      <c r="K550" s="1" t="s">
        <v>19</v>
      </c>
      <c r="L550" s="1" t="s">
        <v>19</v>
      </c>
      <c r="M550" s="10">
        <f t="shared" si="72"/>
        <v>4551265.3781512603</v>
      </c>
      <c r="N550" s="10">
        <f t="shared" si="73"/>
        <v>1825619.9325842697</v>
      </c>
      <c r="O550" s="1">
        <f t="shared" si="74"/>
        <v>9</v>
      </c>
      <c r="P550" s="1">
        <f t="shared" si="75"/>
        <v>12</v>
      </c>
      <c r="Q550" s="1">
        <f t="shared" si="76"/>
        <v>-3</v>
      </c>
      <c r="R550" s="6">
        <f t="shared" si="77"/>
        <v>0.54938271604938271</v>
      </c>
      <c r="S550" s="8">
        <f t="shared" si="78"/>
        <v>84.084641705329446</v>
      </c>
      <c r="T550" s="8">
        <f t="shared" si="79"/>
        <v>4.9153582946705541</v>
      </c>
      <c r="U550" t="str">
        <f t="shared" si="80"/>
        <v>High</v>
      </c>
    </row>
    <row r="551" spans="1:21">
      <c r="A551" s="1">
        <v>669</v>
      </c>
      <c r="B551" s="2">
        <v>2018</v>
      </c>
      <c r="C551" s="1" t="s">
        <v>75</v>
      </c>
      <c r="D551" s="1" t="s">
        <v>76</v>
      </c>
      <c r="E551" s="1" t="s">
        <v>17</v>
      </c>
      <c r="F551" s="1" t="s">
        <v>32</v>
      </c>
      <c r="G551" s="9">
        <v>161005146</v>
      </c>
      <c r="H551" s="1">
        <v>88</v>
      </c>
      <c r="I551" s="1">
        <v>74</v>
      </c>
      <c r="J551" s="5">
        <v>43.1</v>
      </c>
      <c r="K551" s="1" t="s">
        <v>19</v>
      </c>
      <c r="L551" s="1" t="s">
        <v>19</v>
      </c>
      <c r="M551" s="10">
        <f t="shared" si="72"/>
        <v>3735618.2366589326</v>
      </c>
      <c r="N551" s="10">
        <f t="shared" si="73"/>
        <v>1829603.9318181819</v>
      </c>
      <c r="O551" s="1">
        <f t="shared" si="74"/>
        <v>10</v>
      </c>
      <c r="P551" s="1">
        <f t="shared" si="75"/>
        <v>13</v>
      </c>
      <c r="Q551" s="1">
        <f t="shared" si="76"/>
        <v>-3</v>
      </c>
      <c r="R551" s="6">
        <f t="shared" si="77"/>
        <v>0.54320987654320985</v>
      </c>
      <c r="S551" s="8">
        <f t="shared" si="78"/>
        <v>83.955864289564218</v>
      </c>
      <c r="T551" s="8">
        <f t="shared" si="79"/>
        <v>4.044135710435782</v>
      </c>
      <c r="U551" t="str">
        <f t="shared" si="80"/>
        <v>High</v>
      </c>
    </row>
    <row r="552" spans="1:21">
      <c r="A552" s="1">
        <v>279</v>
      </c>
      <c r="B552" s="2">
        <v>2018</v>
      </c>
      <c r="C552" s="1" t="s">
        <v>44</v>
      </c>
      <c r="D552" s="1" t="s">
        <v>45</v>
      </c>
      <c r="E552" s="1" t="s">
        <v>26</v>
      </c>
      <c r="F552" s="1" t="s">
        <v>46</v>
      </c>
      <c r="G552" s="9">
        <v>159529730</v>
      </c>
      <c r="H552" s="1">
        <v>103</v>
      </c>
      <c r="I552" s="1">
        <v>59</v>
      </c>
      <c r="J552" s="5">
        <v>57.1</v>
      </c>
      <c r="K552" s="1" t="s">
        <v>20</v>
      </c>
      <c r="L552" s="1" t="s">
        <v>19</v>
      </c>
      <c r="M552" s="10">
        <f t="shared" si="72"/>
        <v>2793865.6742556915</v>
      </c>
      <c r="N552" s="10">
        <f t="shared" si="73"/>
        <v>1548832.3300970874</v>
      </c>
      <c r="O552" s="1">
        <f t="shared" si="74"/>
        <v>11</v>
      </c>
      <c r="P552" s="1">
        <f t="shared" si="75"/>
        <v>2</v>
      </c>
      <c r="Q552" s="1">
        <f t="shared" si="76"/>
        <v>9</v>
      </c>
      <c r="R552" s="6">
        <f t="shared" si="77"/>
        <v>0.63580246913580252</v>
      </c>
      <c r="S552" s="8">
        <f t="shared" si="78"/>
        <v>83.827052999433675</v>
      </c>
      <c r="T552" s="8">
        <f t="shared" si="79"/>
        <v>19.172947000566325</v>
      </c>
      <c r="U552" t="str">
        <f t="shared" si="80"/>
        <v>High</v>
      </c>
    </row>
    <row r="553" spans="1:21">
      <c r="A553" s="1">
        <v>461</v>
      </c>
      <c r="B553" s="2">
        <v>2018</v>
      </c>
      <c r="C553" s="1" t="s">
        <v>59</v>
      </c>
      <c r="D553" s="1" t="s">
        <v>60</v>
      </c>
      <c r="E553" s="1" t="s">
        <v>17</v>
      </c>
      <c r="F553" s="1" t="s">
        <v>23</v>
      </c>
      <c r="G553" s="9">
        <v>155765125</v>
      </c>
      <c r="H553" s="1">
        <v>77</v>
      </c>
      <c r="I553" s="1">
        <v>85</v>
      </c>
      <c r="J553" s="5">
        <v>32.4</v>
      </c>
      <c r="K553" s="1" t="s">
        <v>19</v>
      </c>
      <c r="L553" s="1" t="s">
        <v>19</v>
      </c>
      <c r="M553" s="10">
        <f t="shared" si="72"/>
        <v>4807565.5864197537</v>
      </c>
      <c r="N553" s="10">
        <f t="shared" si="73"/>
        <v>2022923.7012987013</v>
      </c>
      <c r="O553" s="1">
        <f t="shared" si="74"/>
        <v>12</v>
      </c>
      <c r="P553" s="1">
        <f t="shared" si="75"/>
        <v>20</v>
      </c>
      <c r="Q553" s="1">
        <f t="shared" si="76"/>
        <v>-8</v>
      </c>
      <c r="R553" s="6">
        <f t="shared" si="77"/>
        <v>0.47530864197530864</v>
      </c>
      <c r="S553" s="8">
        <f t="shared" si="78"/>
        <v>83.498383914320129</v>
      </c>
      <c r="T553" s="8">
        <f t="shared" si="79"/>
        <v>-6.4983839143201294</v>
      </c>
      <c r="U553" t="str">
        <f t="shared" si="80"/>
        <v>High</v>
      </c>
    </row>
    <row r="554" spans="1:21">
      <c r="A554" s="1">
        <v>721</v>
      </c>
      <c r="B554" s="2">
        <v>2018</v>
      </c>
      <c r="C554" s="1" t="s">
        <v>79</v>
      </c>
      <c r="D554" s="1" t="s">
        <v>80</v>
      </c>
      <c r="E554" s="1" t="s">
        <v>26</v>
      </c>
      <c r="F554" s="1" t="s">
        <v>46</v>
      </c>
      <c r="G554" s="9">
        <v>144498078</v>
      </c>
      <c r="H554" s="1">
        <v>67</v>
      </c>
      <c r="I554" s="1">
        <v>95</v>
      </c>
      <c r="J554" s="5">
        <v>23.1</v>
      </c>
      <c r="K554" s="1" t="s">
        <v>19</v>
      </c>
      <c r="L554" s="1" t="s">
        <v>19</v>
      </c>
      <c r="M554" s="10">
        <f t="shared" si="72"/>
        <v>6255328.0519480519</v>
      </c>
      <c r="N554" s="10">
        <f t="shared" si="73"/>
        <v>2156687.7313432838</v>
      </c>
      <c r="O554" s="1">
        <f t="shared" si="74"/>
        <v>13</v>
      </c>
      <c r="P554" s="1">
        <f t="shared" si="75"/>
        <v>23</v>
      </c>
      <c r="Q554" s="1">
        <f t="shared" si="76"/>
        <v>-10</v>
      </c>
      <c r="R554" s="6">
        <f t="shared" si="77"/>
        <v>0.41358024691358025</v>
      </c>
      <c r="S554" s="8">
        <f t="shared" si="78"/>
        <v>82.514713640965738</v>
      </c>
      <c r="T554" s="8">
        <f t="shared" si="79"/>
        <v>-15.514713640965738</v>
      </c>
      <c r="U554" t="str">
        <f t="shared" si="80"/>
        <v>Mid</v>
      </c>
    </row>
    <row r="555" spans="1:21">
      <c r="A555" s="1">
        <v>71</v>
      </c>
      <c r="B555" s="2">
        <v>2018</v>
      </c>
      <c r="C555" s="1" t="s">
        <v>24</v>
      </c>
      <c r="D555" s="1" t="s">
        <v>25</v>
      </c>
      <c r="E555" s="1" t="s">
        <v>26</v>
      </c>
      <c r="F555" s="1" t="s">
        <v>27</v>
      </c>
      <c r="G555" s="9">
        <v>143600045</v>
      </c>
      <c r="H555" s="1">
        <v>47</v>
      </c>
      <c r="I555" s="1">
        <v>115</v>
      </c>
      <c r="J555" s="5">
        <v>7</v>
      </c>
      <c r="K555" s="1" t="s">
        <v>19</v>
      </c>
      <c r="L555" s="1" t="s">
        <v>19</v>
      </c>
      <c r="M555" s="10">
        <f t="shared" si="72"/>
        <v>20514292.142857142</v>
      </c>
      <c r="N555" s="10">
        <f t="shared" si="73"/>
        <v>3055320.1063829786</v>
      </c>
      <c r="O555" s="1">
        <f t="shared" si="74"/>
        <v>14</v>
      </c>
      <c r="P555" s="1">
        <f t="shared" si="75"/>
        <v>30</v>
      </c>
      <c r="Q555" s="1">
        <f t="shared" si="76"/>
        <v>-16</v>
      </c>
      <c r="R555" s="6">
        <f t="shared" si="77"/>
        <v>0.29012345679012347</v>
      </c>
      <c r="S555" s="8">
        <f t="shared" si="78"/>
        <v>82.43631081131646</v>
      </c>
      <c r="T555" s="8">
        <f t="shared" si="79"/>
        <v>-35.43631081131646</v>
      </c>
      <c r="U555" t="str">
        <f t="shared" si="80"/>
        <v>Mid</v>
      </c>
    </row>
    <row r="556" spans="1:21">
      <c r="A556" s="1">
        <v>227</v>
      </c>
      <c r="B556" s="2">
        <v>2018</v>
      </c>
      <c r="C556" s="1" t="s">
        <v>40</v>
      </c>
      <c r="D556" s="1" t="s">
        <v>41</v>
      </c>
      <c r="E556" s="1" t="s">
        <v>17</v>
      </c>
      <c r="F556" s="1" t="s">
        <v>18</v>
      </c>
      <c r="G556" s="9">
        <v>141339833</v>
      </c>
      <c r="H556" s="1">
        <v>91</v>
      </c>
      <c r="I556" s="1">
        <v>72</v>
      </c>
      <c r="J556" s="5">
        <v>36.6</v>
      </c>
      <c r="K556" s="1" t="s">
        <v>20</v>
      </c>
      <c r="L556" s="1" t="s">
        <v>19</v>
      </c>
      <c r="M556" s="10">
        <f t="shared" si="72"/>
        <v>3861744.0710382513</v>
      </c>
      <c r="N556" s="10">
        <f t="shared" si="73"/>
        <v>1553184.9780219779</v>
      </c>
      <c r="O556" s="1">
        <f t="shared" si="74"/>
        <v>15</v>
      </c>
      <c r="P556" s="1">
        <f t="shared" si="75"/>
        <v>8</v>
      </c>
      <c r="Q556" s="1">
        <f t="shared" si="76"/>
        <v>7</v>
      </c>
      <c r="R556" s="6">
        <f t="shared" si="77"/>
        <v>0.55828220858895705</v>
      </c>
      <c r="S556" s="8">
        <f t="shared" si="78"/>
        <v>82.238982855208803</v>
      </c>
      <c r="T556" s="8">
        <f t="shared" si="79"/>
        <v>8.7610171447911966</v>
      </c>
      <c r="U556" t="str">
        <f t="shared" si="80"/>
        <v>Mid</v>
      </c>
    </row>
    <row r="557" spans="1:21">
      <c r="A557" s="1">
        <v>201</v>
      </c>
      <c r="B557" s="2">
        <v>2018</v>
      </c>
      <c r="C557" s="1" t="s">
        <v>38</v>
      </c>
      <c r="D557" s="1" t="s">
        <v>39</v>
      </c>
      <c r="E557" s="1" t="s">
        <v>26</v>
      </c>
      <c r="F557" s="1" t="s">
        <v>35</v>
      </c>
      <c r="G557" s="9">
        <v>137346173</v>
      </c>
      <c r="H557" s="1">
        <v>91</v>
      </c>
      <c r="I557" s="1">
        <v>71</v>
      </c>
      <c r="J557" s="5">
        <v>50.8</v>
      </c>
      <c r="K557" s="1" t="s">
        <v>20</v>
      </c>
      <c r="L557" s="1" t="s">
        <v>19</v>
      </c>
      <c r="M557" s="10">
        <f t="shared" si="72"/>
        <v>2703664.8228346459</v>
      </c>
      <c r="N557" s="10">
        <f t="shared" si="73"/>
        <v>1509298.6043956045</v>
      </c>
      <c r="O557" s="1">
        <f t="shared" si="74"/>
        <v>16</v>
      </c>
      <c r="P557" s="1">
        <f t="shared" si="75"/>
        <v>8</v>
      </c>
      <c r="Q557" s="1">
        <f t="shared" si="76"/>
        <v>8</v>
      </c>
      <c r="R557" s="6">
        <f t="shared" si="77"/>
        <v>0.56172839506172845</v>
      </c>
      <c r="S557" s="8">
        <f t="shared" si="78"/>
        <v>81.89031610837759</v>
      </c>
      <c r="T557" s="8">
        <f t="shared" si="79"/>
        <v>9.1096838916224101</v>
      </c>
      <c r="U557" t="str">
        <f t="shared" si="80"/>
        <v>Mid</v>
      </c>
    </row>
    <row r="558" spans="1:21">
      <c r="A558" s="1">
        <v>19</v>
      </c>
      <c r="B558" s="2">
        <v>2018</v>
      </c>
      <c r="C558" s="1" t="s">
        <v>15</v>
      </c>
      <c r="D558" s="1" t="s">
        <v>16</v>
      </c>
      <c r="E558" s="1" t="s">
        <v>17</v>
      </c>
      <c r="F558" s="1" t="s">
        <v>18</v>
      </c>
      <c r="G558" s="9">
        <v>132495446</v>
      </c>
      <c r="H558" s="1">
        <v>82</v>
      </c>
      <c r="I558" s="1">
        <v>80</v>
      </c>
      <c r="J558" s="5">
        <v>34.1</v>
      </c>
      <c r="K558" s="1" t="s">
        <v>19</v>
      </c>
      <c r="L558" s="1" t="s">
        <v>19</v>
      </c>
      <c r="M558" s="10">
        <f t="shared" si="72"/>
        <v>3885496.9501466276</v>
      </c>
      <c r="N558" s="10">
        <f t="shared" si="73"/>
        <v>1615798.1219512196</v>
      </c>
      <c r="O558" s="1">
        <f t="shared" si="74"/>
        <v>17</v>
      </c>
      <c r="P558" s="1">
        <f t="shared" si="75"/>
        <v>14</v>
      </c>
      <c r="Q558" s="1">
        <f t="shared" si="76"/>
        <v>3</v>
      </c>
      <c r="R558" s="6">
        <f t="shared" si="77"/>
        <v>0.50617283950617287</v>
      </c>
      <c r="S558" s="8">
        <f t="shared" si="78"/>
        <v>81.466823071199556</v>
      </c>
      <c r="T558" s="8">
        <f t="shared" si="79"/>
        <v>0.53317692880044376</v>
      </c>
      <c r="U558" t="str">
        <f t="shared" si="80"/>
        <v>Mid</v>
      </c>
    </row>
    <row r="559" spans="1:21">
      <c r="A559" s="1">
        <v>435</v>
      </c>
      <c r="B559" s="2">
        <v>2018</v>
      </c>
      <c r="C559" s="1" t="s">
        <v>57</v>
      </c>
      <c r="D559" s="1" t="s">
        <v>58</v>
      </c>
      <c r="E559" s="1" t="s">
        <v>26</v>
      </c>
      <c r="F559" s="1" t="s">
        <v>35</v>
      </c>
      <c r="G559" s="9">
        <v>131374996</v>
      </c>
      <c r="H559" s="1">
        <v>78</v>
      </c>
      <c r="I559" s="1">
        <v>84</v>
      </c>
      <c r="J559" s="5">
        <v>25.2</v>
      </c>
      <c r="K559" s="1" t="s">
        <v>19</v>
      </c>
      <c r="L559" s="1" t="s">
        <v>19</v>
      </c>
      <c r="M559" s="10">
        <f t="shared" si="72"/>
        <v>5213293.4920634925</v>
      </c>
      <c r="N559" s="10">
        <f t="shared" si="73"/>
        <v>1684294.8205128205</v>
      </c>
      <c r="O559" s="1">
        <f t="shared" si="74"/>
        <v>18</v>
      </c>
      <c r="P559" s="1">
        <f t="shared" si="75"/>
        <v>19</v>
      </c>
      <c r="Q559" s="1">
        <f t="shared" si="76"/>
        <v>-1</v>
      </c>
      <c r="R559" s="6">
        <f t="shared" si="77"/>
        <v>0.48148148148148145</v>
      </c>
      <c r="S559" s="8">
        <f t="shared" si="78"/>
        <v>81.369002110855646</v>
      </c>
      <c r="T559" s="8">
        <f t="shared" si="79"/>
        <v>-3.3690021108556465</v>
      </c>
      <c r="U559" t="str">
        <f t="shared" si="80"/>
        <v>Mid</v>
      </c>
    </row>
    <row r="560" spans="1:21">
      <c r="A560" s="1">
        <v>305</v>
      </c>
      <c r="B560" s="2">
        <v>2018</v>
      </c>
      <c r="C560" s="1" t="s">
        <v>47</v>
      </c>
      <c r="D560" s="1" t="s">
        <v>48</v>
      </c>
      <c r="E560" s="1" t="s">
        <v>26</v>
      </c>
      <c r="F560" s="1" t="s">
        <v>35</v>
      </c>
      <c r="G560" s="9">
        <v>129967987</v>
      </c>
      <c r="H560" s="1">
        <v>58</v>
      </c>
      <c r="I560" s="1">
        <v>104</v>
      </c>
      <c r="J560" s="5">
        <v>12.1</v>
      </c>
      <c r="K560" s="1" t="s">
        <v>19</v>
      </c>
      <c r="L560" s="1" t="s">
        <v>19</v>
      </c>
      <c r="M560" s="10">
        <f t="shared" si="72"/>
        <v>10741155.950413223</v>
      </c>
      <c r="N560" s="10">
        <f t="shared" si="73"/>
        <v>2240827.3620689656</v>
      </c>
      <c r="O560" s="1">
        <f t="shared" si="74"/>
        <v>19</v>
      </c>
      <c r="P560" s="1">
        <f t="shared" si="75"/>
        <v>29</v>
      </c>
      <c r="Q560" s="1">
        <f t="shared" si="76"/>
        <v>-10</v>
      </c>
      <c r="R560" s="6">
        <f t="shared" si="77"/>
        <v>0.35802469135802467</v>
      </c>
      <c r="S560" s="8">
        <f t="shared" si="78"/>
        <v>81.246163098322725</v>
      </c>
      <c r="T560" s="8">
        <f t="shared" si="79"/>
        <v>-23.246163098322725</v>
      </c>
      <c r="U560" t="str">
        <f t="shared" si="80"/>
        <v>Mid</v>
      </c>
    </row>
    <row r="561" spans="1:21">
      <c r="A561" s="1">
        <v>253</v>
      </c>
      <c r="B561" s="2">
        <v>2018</v>
      </c>
      <c r="C561" s="1" t="s">
        <v>42</v>
      </c>
      <c r="D561" s="1" t="s">
        <v>43</v>
      </c>
      <c r="E561" s="1" t="s">
        <v>26</v>
      </c>
      <c r="F561" s="1" t="s">
        <v>35</v>
      </c>
      <c r="G561" s="9">
        <v>129917192</v>
      </c>
      <c r="H561" s="1">
        <v>64</v>
      </c>
      <c r="I561" s="1">
        <v>98</v>
      </c>
      <c r="J561" s="5">
        <v>17.5</v>
      </c>
      <c r="K561" s="1" t="s">
        <v>19</v>
      </c>
      <c r="L561" s="1" t="s">
        <v>19</v>
      </c>
      <c r="M561" s="10">
        <f t="shared" si="72"/>
        <v>7423839.5428571431</v>
      </c>
      <c r="N561" s="10">
        <f t="shared" si="73"/>
        <v>2029956.125</v>
      </c>
      <c r="O561" s="1">
        <f t="shared" si="74"/>
        <v>20</v>
      </c>
      <c r="P561" s="1">
        <f t="shared" si="75"/>
        <v>26</v>
      </c>
      <c r="Q561" s="1">
        <f t="shared" si="76"/>
        <v>-6</v>
      </c>
      <c r="R561" s="6">
        <f t="shared" si="77"/>
        <v>0.39506172839506171</v>
      </c>
      <c r="S561" s="8">
        <f t="shared" si="78"/>
        <v>81.24172843753405</v>
      </c>
      <c r="T561" s="8">
        <f t="shared" si="79"/>
        <v>-17.24172843753405</v>
      </c>
      <c r="U561" t="str">
        <f t="shared" si="80"/>
        <v>Mid</v>
      </c>
    </row>
    <row r="562" spans="1:21">
      <c r="A562" s="1">
        <v>45</v>
      </c>
      <c r="B562" s="2">
        <v>2018</v>
      </c>
      <c r="C562" s="1" t="s">
        <v>21</v>
      </c>
      <c r="D562" s="1" t="s">
        <v>22</v>
      </c>
      <c r="E562" s="1" t="s">
        <v>17</v>
      </c>
      <c r="F562" s="1" t="s">
        <v>23</v>
      </c>
      <c r="G562" s="9">
        <v>120542785</v>
      </c>
      <c r="H562" s="1">
        <v>90</v>
      </c>
      <c r="I562" s="1">
        <v>72</v>
      </c>
      <c r="J562" s="5">
        <v>40.799999999999997</v>
      </c>
      <c r="K562" s="1" t="s">
        <v>20</v>
      </c>
      <c r="L562" s="1" t="s">
        <v>19</v>
      </c>
      <c r="M562" s="10">
        <f t="shared" si="72"/>
        <v>2954480.0245098043</v>
      </c>
      <c r="N562" s="10">
        <f t="shared" si="73"/>
        <v>1339364.2777777778</v>
      </c>
      <c r="O562" s="1">
        <f t="shared" si="74"/>
        <v>21</v>
      </c>
      <c r="P562" s="1">
        <f t="shared" si="75"/>
        <v>10</v>
      </c>
      <c r="Q562" s="1">
        <f t="shared" si="76"/>
        <v>11</v>
      </c>
      <c r="R562" s="6">
        <f t="shared" si="77"/>
        <v>0.55555555555555558</v>
      </c>
      <c r="S562" s="8">
        <f t="shared" si="78"/>
        <v>80.42329522284831</v>
      </c>
      <c r="T562" s="8">
        <f t="shared" si="79"/>
        <v>9.57670477715169</v>
      </c>
      <c r="U562" t="str">
        <f t="shared" si="80"/>
        <v>Mid</v>
      </c>
    </row>
    <row r="563" spans="1:21">
      <c r="A563" s="1">
        <v>175</v>
      </c>
      <c r="B563" s="2">
        <v>2018</v>
      </c>
      <c r="C563" s="1" t="s">
        <v>36</v>
      </c>
      <c r="D563" s="1" t="s">
        <v>37</v>
      </c>
      <c r="E563" s="1" t="s">
        <v>17</v>
      </c>
      <c r="F563" s="1" t="s">
        <v>32</v>
      </c>
      <c r="G563" s="9">
        <v>101185579</v>
      </c>
      <c r="H563" s="1">
        <v>67</v>
      </c>
      <c r="I563" s="1">
        <v>95</v>
      </c>
      <c r="J563" s="5">
        <v>17</v>
      </c>
      <c r="K563" s="1" t="s">
        <v>19</v>
      </c>
      <c r="L563" s="1" t="s">
        <v>19</v>
      </c>
      <c r="M563" s="10">
        <f t="shared" si="72"/>
        <v>5952092.8823529407</v>
      </c>
      <c r="N563" s="10">
        <f t="shared" si="73"/>
        <v>1510232.5223880596</v>
      </c>
      <c r="O563" s="1">
        <f t="shared" si="74"/>
        <v>22</v>
      </c>
      <c r="P563" s="1">
        <f t="shared" si="75"/>
        <v>23</v>
      </c>
      <c r="Q563" s="1">
        <f t="shared" si="76"/>
        <v>-1</v>
      </c>
      <c r="R563" s="6">
        <f t="shared" si="77"/>
        <v>0.41358024691358025</v>
      </c>
      <c r="S563" s="8">
        <f t="shared" si="78"/>
        <v>78.733313090227625</v>
      </c>
      <c r="T563" s="8">
        <f t="shared" si="79"/>
        <v>-11.733313090227625</v>
      </c>
      <c r="U563" t="str">
        <f t="shared" si="80"/>
        <v>Mid</v>
      </c>
    </row>
    <row r="564" spans="1:21">
      <c r="A564" s="1">
        <v>383</v>
      </c>
      <c r="B564" s="2">
        <v>2018</v>
      </c>
      <c r="C564" s="1" t="s">
        <v>53</v>
      </c>
      <c r="D564" s="1" t="s">
        <v>54</v>
      </c>
      <c r="E564" s="1" t="s">
        <v>17</v>
      </c>
      <c r="F564" s="1" t="s">
        <v>23</v>
      </c>
      <c r="G564" s="9">
        <v>98826644</v>
      </c>
      <c r="H564" s="1">
        <v>63</v>
      </c>
      <c r="I564" s="1">
        <v>98</v>
      </c>
      <c r="J564" s="5">
        <v>17.899999999999999</v>
      </c>
      <c r="K564" s="1" t="s">
        <v>19</v>
      </c>
      <c r="L564" s="1" t="s">
        <v>19</v>
      </c>
      <c r="M564" s="10">
        <f t="shared" si="72"/>
        <v>5521041.5642458107</v>
      </c>
      <c r="N564" s="10">
        <f t="shared" si="73"/>
        <v>1568676.888888889</v>
      </c>
      <c r="O564" s="1">
        <f t="shared" si="74"/>
        <v>23</v>
      </c>
      <c r="P564" s="1">
        <f t="shared" si="75"/>
        <v>27</v>
      </c>
      <c r="Q564" s="1">
        <f t="shared" si="76"/>
        <v>-4</v>
      </c>
      <c r="R564" s="6">
        <f t="shared" si="77"/>
        <v>0.39130434782608697</v>
      </c>
      <c r="S564" s="8">
        <f t="shared" si="78"/>
        <v>78.527366116164657</v>
      </c>
      <c r="T564" s="8">
        <f t="shared" si="79"/>
        <v>-15.527366116164657</v>
      </c>
      <c r="U564" t="str">
        <f t="shared" si="80"/>
        <v>Mid</v>
      </c>
    </row>
    <row r="565" spans="1:21">
      <c r="A565" s="1">
        <v>539</v>
      </c>
      <c r="B565" s="2">
        <v>2018</v>
      </c>
      <c r="C565" s="1" t="s">
        <v>65</v>
      </c>
      <c r="D565" s="1" t="s">
        <v>66</v>
      </c>
      <c r="E565" s="1" t="s">
        <v>17</v>
      </c>
      <c r="F565" s="1" t="s">
        <v>23</v>
      </c>
      <c r="G565" s="9">
        <v>96848371</v>
      </c>
      <c r="H565" s="1">
        <v>80</v>
      </c>
      <c r="I565" s="1">
        <v>82</v>
      </c>
      <c r="J565" s="5">
        <v>32.299999999999997</v>
      </c>
      <c r="K565" s="1" t="s">
        <v>19</v>
      </c>
      <c r="L565" s="1" t="s">
        <v>19</v>
      </c>
      <c r="M565" s="10">
        <f t="shared" si="72"/>
        <v>2998401.5789473685</v>
      </c>
      <c r="N565" s="10">
        <f t="shared" si="73"/>
        <v>1210604.6375</v>
      </c>
      <c r="O565" s="1">
        <f t="shared" si="74"/>
        <v>24</v>
      </c>
      <c r="P565" s="1">
        <f t="shared" si="75"/>
        <v>17</v>
      </c>
      <c r="Q565" s="1">
        <f t="shared" si="76"/>
        <v>7</v>
      </c>
      <c r="R565" s="6">
        <f t="shared" si="77"/>
        <v>0.49382716049382713</v>
      </c>
      <c r="S565" s="8">
        <f t="shared" si="78"/>
        <v>78.354652862844631</v>
      </c>
      <c r="T565" s="8">
        <f t="shared" si="79"/>
        <v>1.645347137155369</v>
      </c>
      <c r="U565" t="str">
        <f t="shared" si="80"/>
        <v>Mid</v>
      </c>
    </row>
    <row r="566" spans="1:21">
      <c r="A566" s="1">
        <v>591</v>
      </c>
      <c r="B566" s="2">
        <v>2018</v>
      </c>
      <c r="C566" s="1" t="s">
        <v>69</v>
      </c>
      <c r="D566" s="1" t="s">
        <v>70</v>
      </c>
      <c r="E566" s="1" t="s">
        <v>17</v>
      </c>
      <c r="F566" s="1" t="s">
        <v>18</v>
      </c>
      <c r="G566" s="9">
        <v>96131798</v>
      </c>
      <c r="H566" s="1">
        <v>66</v>
      </c>
      <c r="I566" s="1">
        <v>96</v>
      </c>
      <c r="J566" s="5">
        <v>22.7</v>
      </c>
      <c r="K566" s="1" t="s">
        <v>19</v>
      </c>
      <c r="L566" s="1" t="s">
        <v>19</v>
      </c>
      <c r="M566" s="10">
        <f t="shared" si="72"/>
        <v>4234880.9691629959</v>
      </c>
      <c r="N566" s="10">
        <f t="shared" si="73"/>
        <v>1456542.393939394</v>
      </c>
      <c r="O566" s="1">
        <f t="shared" si="74"/>
        <v>25</v>
      </c>
      <c r="P566" s="1">
        <f t="shared" si="75"/>
        <v>25</v>
      </c>
      <c r="Q566" s="1">
        <f t="shared" si="76"/>
        <v>0</v>
      </c>
      <c r="R566" s="6">
        <f t="shared" si="77"/>
        <v>0.40740740740740738</v>
      </c>
      <c r="S566" s="8">
        <f t="shared" si="78"/>
        <v>78.292092410333126</v>
      </c>
      <c r="T566" s="8">
        <f t="shared" si="79"/>
        <v>-12.292092410333126</v>
      </c>
      <c r="U566" t="str">
        <f t="shared" si="80"/>
        <v>Mid</v>
      </c>
    </row>
    <row r="567" spans="1:21">
      <c r="A567" s="1">
        <v>409</v>
      </c>
      <c r="B567" s="2">
        <v>2018</v>
      </c>
      <c r="C567" s="1" t="s">
        <v>55</v>
      </c>
      <c r="D567" s="1" t="s">
        <v>56</v>
      </c>
      <c r="E567" s="1" t="s">
        <v>17</v>
      </c>
      <c r="F567" s="1" t="s">
        <v>32</v>
      </c>
      <c r="G567" s="9">
        <v>90237112</v>
      </c>
      <c r="H567" s="1">
        <v>96</v>
      </c>
      <c r="I567" s="1">
        <v>67</v>
      </c>
      <c r="J567" s="5">
        <v>39.6</v>
      </c>
      <c r="K567" s="1" t="s">
        <v>20</v>
      </c>
      <c r="L567" s="1" t="s">
        <v>19</v>
      </c>
      <c r="M567" s="10">
        <f t="shared" si="72"/>
        <v>2278714.9494949495</v>
      </c>
      <c r="N567" s="10">
        <f t="shared" si="73"/>
        <v>939969.91666666663</v>
      </c>
      <c r="O567" s="1">
        <f t="shared" si="74"/>
        <v>26</v>
      </c>
      <c r="P567" s="1">
        <f t="shared" si="75"/>
        <v>5</v>
      </c>
      <c r="Q567" s="1">
        <f t="shared" si="76"/>
        <v>21</v>
      </c>
      <c r="R567" s="6">
        <f t="shared" si="77"/>
        <v>0.58895705521472397</v>
      </c>
      <c r="S567" s="8">
        <f t="shared" si="78"/>
        <v>77.777456464556181</v>
      </c>
      <c r="T567" s="8">
        <f t="shared" si="79"/>
        <v>18.222543535443819</v>
      </c>
      <c r="U567" t="str">
        <f t="shared" si="80"/>
        <v>Mid</v>
      </c>
    </row>
    <row r="568" spans="1:21">
      <c r="A568" s="1">
        <v>565</v>
      </c>
      <c r="B568" s="2">
        <v>2018</v>
      </c>
      <c r="C568" s="1" t="s">
        <v>67</v>
      </c>
      <c r="D568" s="1" t="s">
        <v>68</v>
      </c>
      <c r="E568" s="1" t="s">
        <v>17</v>
      </c>
      <c r="F568" s="1" t="s">
        <v>32</v>
      </c>
      <c r="G568" s="9">
        <v>87860654</v>
      </c>
      <c r="H568" s="1">
        <v>82</v>
      </c>
      <c r="I568" s="1">
        <v>79</v>
      </c>
      <c r="J568" s="5">
        <v>28.4</v>
      </c>
      <c r="K568" s="1" t="s">
        <v>19</v>
      </c>
      <c r="L568" s="1" t="s">
        <v>19</v>
      </c>
      <c r="M568" s="10">
        <f t="shared" si="72"/>
        <v>3093685</v>
      </c>
      <c r="N568" s="10">
        <f t="shared" si="73"/>
        <v>1071471.3902439023</v>
      </c>
      <c r="O568" s="1">
        <f t="shared" si="74"/>
        <v>27</v>
      </c>
      <c r="P568" s="1">
        <f t="shared" si="75"/>
        <v>14</v>
      </c>
      <c r="Q568" s="1">
        <f t="shared" si="76"/>
        <v>13</v>
      </c>
      <c r="R568" s="6">
        <f t="shared" si="77"/>
        <v>0.50931677018633537</v>
      </c>
      <c r="S568" s="8">
        <f t="shared" si="78"/>
        <v>77.569979643835083</v>
      </c>
      <c r="T568" s="8">
        <f t="shared" si="79"/>
        <v>4.430020356164917</v>
      </c>
      <c r="U568" t="str">
        <f t="shared" si="80"/>
        <v>Mid</v>
      </c>
    </row>
    <row r="569" spans="1:21">
      <c r="A569" s="1">
        <v>695</v>
      </c>
      <c r="B569" s="2">
        <v>2018</v>
      </c>
      <c r="C569" s="1" t="s">
        <v>77</v>
      </c>
      <c r="D569" s="1" t="s">
        <v>78</v>
      </c>
      <c r="E569" s="1" t="s">
        <v>26</v>
      </c>
      <c r="F569" s="1" t="s">
        <v>27</v>
      </c>
      <c r="G569" s="9">
        <v>78231049</v>
      </c>
      <c r="H569" s="1">
        <v>90</v>
      </c>
      <c r="I569" s="1">
        <v>72</v>
      </c>
      <c r="J569" s="5">
        <v>46.4</v>
      </c>
      <c r="K569" s="1" t="s">
        <v>19</v>
      </c>
      <c r="L569" s="1" t="s">
        <v>19</v>
      </c>
      <c r="M569" s="10">
        <f t="shared" si="72"/>
        <v>1686013.9870689656</v>
      </c>
      <c r="N569" s="10">
        <f t="shared" si="73"/>
        <v>869233.87777777773</v>
      </c>
      <c r="O569" s="1">
        <f t="shared" si="74"/>
        <v>28</v>
      </c>
      <c r="P569" s="1">
        <f t="shared" si="75"/>
        <v>10</v>
      </c>
      <c r="Q569" s="1">
        <f t="shared" si="76"/>
        <v>18</v>
      </c>
      <c r="R569" s="6">
        <f t="shared" si="77"/>
        <v>0.55555555555555558</v>
      </c>
      <c r="S569" s="8">
        <f t="shared" si="78"/>
        <v>76.729266351111178</v>
      </c>
      <c r="T569" s="8">
        <f t="shared" si="79"/>
        <v>13.270733648888822</v>
      </c>
      <c r="U569" t="str">
        <f t="shared" si="80"/>
        <v>Low</v>
      </c>
    </row>
    <row r="570" spans="1:21">
      <c r="A570" s="1">
        <v>149</v>
      </c>
      <c r="B570" s="2">
        <v>2018</v>
      </c>
      <c r="C570" s="1" t="s">
        <v>33</v>
      </c>
      <c r="D570" s="1" t="s">
        <v>34</v>
      </c>
      <c r="E570" s="1" t="s">
        <v>26</v>
      </c>
      <c r="F570" s="1" t="s">
        <v>35</v>
      </c>
      <c r="G570" s="9">
        <v>72177640</v>
      </c>
      <c r="H570" s="1">
        <v>62</v>
      </c>
      <c r="I570" s="1">
        <v>100</v>
      </c>
      <c r="J570" s="5">
        <v>15.6</v>
      </c>
      <c r="K570" s="1" t="s">
        <v>19</v>
      </c>
      <c r="L570" s="1" t="s">
        <v>19</v>
      </c>
      <c r="M570" s="10">
        <f t="shared" si="72"/>
        <v>4626771.794871795</v>
      </c>
      <c r="N570" s="10">
        <f t="shared" si="73"/>
        <v>1164155.4838709678</v>
      </c>
      <c r="O570" s="1">
        <f t="shared" si="74"/>
        <v>29</v>
      </c>
      <c r="P570" s="1">
        <f t="shared" si="75"/>
        <v>28</v>
      </c>
      <c r="Q570" s="1">
        <f t="shared" si="76"/>
        <v>1</v>
      </c>
      <c r="R570" s="6">
        <f t="shared" si="77"/>
        <v>0.38271604938271603</v>
      </c>
      <c r="S570" s="8">
        <f t="shared" si="78"/>
        <v>76.200773083464753</v>
      </c>
      <c r="T570" s="8">
        <f t="shared" si="79"/>
        <v>-14.200773083464753</v>
      </c>
      <c r="U570" t="str">
        <f t="shared" si="80"/>
        <v>Low</v>
      </c>
    </row>
    <row r="571" spans="1:21">
      <c r="A571" s="1">
        <v>513</v>
      </c>
      <c r="B571" s="2">
        <v>2018</v>
      </c>
      <c r="C571" s="1" t="s">
        <v>63</v>
      </c>
      <c r="D571" s="1" t="s">
        <v>64</v>
      </c>
      <c r="E571" s="1" t="s">
        <v>26</v>
      </c>
      <c r="F571" s="1" t="s">
        <v>46</v>
      </c>
      <c r="G571" s="9">
        <v>68534631</v>
      </c>
      <c r="H571" s="1">
        <v>97</v>
      </c>
      <c r="I571" s="1">
        <v>65</v>
      </c>
      <c r="J571" s="5">
        <v>49.2</v>
      </c>
      <c r="K571" s="1" t="s">
        <v>20</v>
      </c>
      <c r="L571" s="1" t="s">
        <v>19</v>
      </c>
      <c r="M571" s="10">
        <f t="shared" si="72"/>
        <v>1392980.3048780486</v>
      </c>
      <c r="N571" s="10">
        <f t="shared" si="73"/>
        <v>706542.58762886596</v>
      </c>
      <c r="O571" s="1">
        <f t="shared" si="74"/>
        <v>30</v>
      </c>
      <c r="P571" s="1">
        <f t="shared" si="75"/>
        <v>4</v>
      </c>
      <c r="Q571" s="1">
        <f t="shared" si="76"/>
        <v>26</v>
      </c>
      <c r="R571" s="6">
        <f t="shared" si="77"/>
        <v>0.59876543209876543</v>
      </c>
      <c r="S571" s="8">
        <f t="shared" si="78"/>
        <v>75.88271994506367</v>
      </c>
      <c r="T571" s="8">
        <f t="shared" si="79"/>
        <v>21.11728005493633</v>
      </c>
      <c r="U571" t="str">
        <f t="shared" si="80"/>
        <v>Low</v>
      </c>
    </row>
    <row r="572" spans="1:21">
      <c r="A572" s="1">
        <v>98</v>
      </c>
      <c r="B572" s="2">
        <v>2019</v>
      </c>
      <c r="C572" s="1" t="s">
        <v>28</v>
      </c>
      <c r="D572" s="1" t="s">
        <v>29</v>
      </c>
      <c r="E572" s="1" t="s">
        <v>26</v>
      </c>
      <c r="F572" s="1" t="s">
        <v>27</v>
      </c>
      <c r="G572" s="11">
        <v>222084848</v>
      </c>
      <c r="H572" s="1">
        <v>84</v>
      </c>
      <c r="I572" s="1">
        <v>78</v>
      </c>
      <c r="J572" s="5">
        <v>45.6</v>
      </c>
      <c r="K572" s="1" t="s">
        <v>19</v>
      </c>
      <c r="L572" s="1" t="s">
        <v>19</v>
      </c>
      <c r="M572" s="10">
        <f t="shared" si="72"/>
        <v>4870281.7543859649</v>
      </c>
      <c r="N572" s="10">
        <f t="shared" si="73"/>
        <v>2643867.2380952379</v>
      </c>
      <c r="O572" s="1">
        <f t="shared" si="74"/>
        <v>1</v>
      </c>
      <c r="P572" s="1">
        <f t="shared" si="75"/>
        <v>14</v>
      </c>
      <c r="Q572" s="1">
        <f t="shared" si="76"/>
        <v>-13</v>
      </c>
      <c r="R572" s="6">
        <f t="shared" si="77"/>
        <v>0.51851851851851849</v>
      </c>
      <c r="S572" s="8">
        <f t="shared" si="78"/>
        <v>89.288431657282231</v>
      </c>
      <c r="T572" s="8">
        <f t="shared" si="79"/>
        <v>-5.2884316572822314</v>
      </c>
      <c r="U572" t="str">
        <f t="shared" si="80"/>
        <v>High</v>
      </c>
    </row>
    <row r="573" spans="1:21">
      <c r="A573" s="1">
        <v>124</v>
      </c>
      <c r="B573" s="2">
        <v>2019</v>
      </c>
      <c r="C573" s="1" t="s">
        <v>30</v>
      </c>
      <c r="D573" s="1" t="s">
        <v>31</v>
      </c>
      <c r="E573" s="1" t="s">
        <v>17</v>
      </c>
      <c r="F573" s="1" t="s">
        <v>32</v>
      </c>
      <c r="G573" s="11">
        <v>211475000</v>
      </c>
      <c r="H573" s="1">
        <v>84</v>
      </c>
      <c r="I573" s="1">
        <v>78</v>
      </c>
      <c r="J573" s="5">
        <v>41.2</v>
      </c>
      <c r="K573" s="1" t="s">
        <v>19</v>
      </c>
      <c r="L573" s="1" t="s">
        <v>19</v>
      </c>
      <c r="M573" s="10">
        <f t="shared" si="72"/>
        <v>5132888.3495145626</v>
      </c>
      <c r="N573" s="10">
        <f t="shared" si="73"/>
        <v>2517559.5238095238</v>
      </c>
      <c r="O573" s="1">
        <f t="shared" si="74"/>
        <v>2</v>
      </c>
      <c r="P573" s="1">
        <f t="shared" si="75"/>
        <v>14</v>
      </c>
      <c r="Q573" s="1">
        <f t="shared" si="76"/>
        <v>-12</v>
      </c>
      <c r="R573" s="6">
        <f t="shared" si="77"/>
        <v>0.51851851851851849</v>
      </c>
      <c r="S573" s="8">
        <f t="shared" si="78"/>
        <v>88.362138185496008</v>
      </c>
      <c r="T573" s="8">
        <f t="shared" si="79"/>
        <v>-4.3621381854960077</v>
      </c>
      <c r="U573" t="str">
        <f t="shared" si="80"/>
        <v>High</v>
      </c>
    </row>
    <row r="574" spans="1:21">
      <c r="A574" s="1">
        <v>488</v>
      </c>
      <c r="B574" s="2">
        <v>2019</v>
      </c>
      <c r="C574" s="1" t="s">
        <v>61</v>
      </c>
      <c r="D574" s="1" t="s">
        <v>62</v>
      </c>
      <c r="E574" s="1" t="s">
        <v>26</v>
      </c>
      <c r="F574" s="1" t="s">
        <v>27</v>
      </c>
      <c r="G574" s="11">
        <v>209084848</v>
      </c>
      <c r="H574" s="1">
        <v>103</v>
      </c>
      <c r="I574" s="1">
        <v>59</v>
      </c>
      <c r="J574" s="5">
        <v>47.6</v>
      </c>
      <c r="K574" s="1" t="s">
        <v>20</v>
      </c>
      <c r="L574" s="1" t="s">
        <v>19</v>
      </c>
      <c r="M574" s="10">
        <f t="shared" si="72"/>
        <v>4392538.823529412</v>
      </c>
      <c r="N574" s="10">
        <f t="shared" si="73"/>
        <v>2029949.9805825243</v>
      </c>
      <c r="O574" s="1">
        <f t="shared" si="74"/>
        <v>3</v>
      </c>
      <c r="P574" s="1">
        <f t="shared" si="75"/>
        <v>3</v>
      </c>
      <c r="Q574" s="1">
        <f t="shared" si="76"/>
        <v>0</v>
      </c>
      <c r="R574" s="6">
        <f t="shared" si="77"/>
        <v>0.63580246913580252</v>
      </c>
      <c r="S574" s="8">
        <f t="shared" si="78"/>
        <v>88.153465809211554</v>
      </c>
      <c r="T574" s="8">
        <f t="shared" si="79"/>
        <v>14.846534190788446</v>
      </c>
      <c r="U574" t="str">
        <f t="shared" si="80"/>
        <v>High</v>
      </c>
    </row>
    <row r="575" spans="1:21">
      <c r="A575" s="1">
        <v>358</v>
      </c>
      <c r="B575" s="2">
        <v>2019</v>
      </c>
      <c r="C575" s="1" t="s">
        <v>51</v>
      </c>
      <c r="D575" s="1" t="s">
        <v>52</v>
      </c>
      <c r="E575" s="1" t="s">
        <v>17</v>
      </c>
      <c r="F575" s="1" t="s">
        <v>18</v>
      </c>
      <c r="G575" s="11">
        <v>195101668</v>
      </c>
      <c r="H575" s="1">
        <v>106</v>
      </c>
      <c r="I575" s="1">
        <v>56</v>
      </c>
      <c r="J575" s="5">
        <v>53.8</v>
      </c>
      <c r="K575" s="1" t="s">
        <v>20</v>
      </c>
      <c r="L575" s="1" t="s">
        <v>19</v>
      </c>
      <c r="M575" s="10">
        <f t="shared" si="72"/>
        <v>3626425.0557620819</v>
      </c>
      <c r="N575" s="10">
        <f t="shared" si="73"/>
        <v>1840581.7735849055</v>
      </c>
      <c r="O575" s="1">
        <f t="shared" si="74"/>
        <v>4</v>
      </c>
      <c r="P575" s="1">
        <f t="shared" si="75"/>
        <v>2</v>
      </c>
      <c r="Q575" s="1">
        <f t="shared" si="76"/>
        <v>2</v>
      </c>
      <c r="R575" s="6">
        <f t="shared" si="77"/>
        <v>0.65432098765432101</v>
      </c>
      <c r="S575" s="8">
        <f t="shared" si="78"/>
        <v>86.932663367101952</v>
      </c>
      <c r="T575" s="8">
        <f t="shared" si="79"/>
        <v>19.067336632898048</v>
      </c>
      <c r="U575" t="str">
        <f t="shared" si="80"/>
        <v>High</v>
      </c>
    </row>
    <row r="576" spans="1:21">
      <c r="A576" s="1">
        <v>774</v>
      </c>
      <c r="B576" s="2">
        <v>2019</v>
      </c>
      <c r="C576" s="1" t="s">
        <v>83</v>
      </c>
      <c r="D576" s="1" t="s">
        <v>84</v>
      </c>
      <c r="E576" s="1" t="s">
        <v>17</v>
      </c>
      <c r="F576" s="1" t="s">
        <v>23</v>
      </c>
      <c r="G576" s="11">
        <v>192203691</v>
      </c>
      <c r="H576" s="1">
        <v>93</v>
      </c>
      <c r="I576" s="1">
        <v>69</v>
      </c>
      <c r="J576" s="5">
        <v>47.1</v>
      </c>
      <c r="K576" s="1" t="s">
        <v>20</v>
      </c>
      <c r="L576" s="1" t="s">
        <v>20</v>
      </c>
      <c r="M576" s="10">
        <f t="shared" si="72"/>
        <v>4080757.7707006368</v>
      </c>
      <c r="N576" s="10">
        <f t="shared" si="73"/>
        <v>2066706.3548387096</v>
      </c>
      <c r="O576" s="1">
        <f t="shared" si="74"/>
        <v>5</v>
      </c>
      <c r="P576" s="1">
        <f t="shared" si="75"/>
        <v>8</v>
      </c>
      <c r="Q576" s="1">
        <f t="shared" si="76"/>
        <v>-3</v>
      </c>
      <c r="R576" s="6">
        <f t="shared" si="77"/>
        <v>0.57407407407407407</v>
      </c>
      <c r="S576" s="8">
        <f t="shared" si="78"/>
        <v>86.679655296063927</v>
      </c>
      <c r="T576" s="8">
        <f t="shared" si="79"/>
        <v>6.3203447039360725</v>
      </c>
      <c r="U576" t="str">
        <f t="shared" si="80"/>
        <v>High</v>
      </c>
    </row>
    <row r="577" spans="1:21">
      <c r="A577" s="1">
        <v>618</v>
      </c>
      <c r="B577" s="2">
        <v>2019</v>
      </c>
      <c r="C577" s="1" t="s">
        <v>71</v>
      </c>
      <c r="D577" s="1" t="s">
        <v>72</v>
      </c>
      <c r="E577" s="1" t="s">
        <v>17</v>
      </c>
      <c r="F577" s="1" t="s">
        <v>18</v>
      </c>
      <c r="G577" s="11">
        <v>177179653</v>
      </c>
      <c r="H577" s="1">
        <v>77</v>
      </c>
      <c r="I577" s="1">
        <v>85</v>
      </c>
      <c r="J577" s="5">
        <v>31.3</v>
      </c>
      <c r="K577" s="1" t="s">
        <v>19</v>
      </c>
      <c r="L577" s="1" t="s">
        <v>19</v>
      </c>
      <c r="M577" s="10">
        <f t="shared" si="72"/>
        <v>5660691.7891373802</v>
      </c>
      <c r="N577" s="10">
        <f t="shared" si="73"/>
        <v>2301034.4545454546</v>
      </c>
      <c r="O577" s="1">
        <f t="shared" si="74"/>
        <v>6</v>
      </c>
      <c r="P577" s="1">
        <f t="shared" si="75"/>
        <v>18</v>
      </c>
      <c r="Q577" s="1">
        <f t="shared" si="76"/>
        <v>-12</v>
      </c>
      <c r="R577" s="6">
        <f t="shared" si="77"/>
        <v>0.47530864197530864</v>
      </c>
      <c r="S577" s="8">
        <f t="shared" si="78"/>
        <v>85.367980678362684</v>
      </c>
      <c r="T577" s="8">
        <f t="shared" si="79"/>
        <v>-8.3679806783626844</v>
      </c>
      <c r="U577" t="str">
        <f t="shared" si="80"/>
        <v>High</v>
      </c>
    </row>
    <row r="578" spans="1:21">
      <c r="A578" s="1">
        <v>332</v>
      </c>
      <c r="B578" s="2">
        <v>2019</v>
      </c>
      <c r="C578" s="1" t="s">
        <v>49</v>
      </c>
      <c r="D578" s="1" t="s">
        <v>50</v>
      </c>
      <c r="E578" s="1" t="s">
        <v>26</v>
      </c>
      <c r="F578" s="1" t="s">
        <v>46</v>
      </c>
      <c r="G578" s="11">
        <v>162878583</v>
      </c>
      <c r="H578" s="1">
        <v>72</v>
      </c>
      <c r="I578" s="1">
        <v>90</v>
      </c>
      <c r="J578" s="5">
        <v>31.7</v>
      </c>
      <c r="K578" s="1" t="s">
        <v>19</v>
      </c>
      <c r="L578" s="1" t="s">
        <v>19</v>
      </c>
      <c r="M578" s="10">
        <f t="shared" ref="M578:M641" si="81">G578/J578</f>
        <v>5138125.6466876976</v>
      </c>
      <c r="N578" s="10">
        <f t="shared" ref="N578:N641" si="82">G578/H578</f>
        <v>2262202.5416666665</v>
      </c>
      <c r="O578" s="1">
        <f t="shared" si="74"/>
        <v>7</v>
      </c>
      <c r="P578" s="1">
        <f t="shared" si="75"/>
        <v>20</v>
      </c>
      <c r="Q578" s="1">
        <f t="shared" si="76"/>
        <v>-13</v>
      </c>
      <c r="R578" s="6">
        <f t="shared" si="77"/>
        <v>0.44444444444444442</v>
      </c>
      <c r="S578" s="8">
        <f t="shared" si="78"/>
        <v>84.119424829065139</v>
      </c>
      <c r="T578" s="8">
        <f t="shared" si="79"/>
        <v>-12.119424829065139</v>
      </c>
      <c r="U578" t="str">
        <f t="shared" si="80"/>
        <v>High</v>
      </c>
    </row>
    <row r="579" spans="1:21">
      <c r="A579" s="1">
        <v>670</v>
      </c>
      <c r="B579" s="2">
        <v>2019</v>
      </c>
      <c r="C579" s="1" t="s">
        <v>75</v>
      </c>
      <c r="D579" s="1" t="s">
        <v>76</v>
      </c>
      <c r="E579" s="1" t="s">
        <v>17</v>
      </c>
      <c r="F579" s="1" t="s">
        <v>32</v>
      </c>
      <c r="G579" s="11">
        <v>162620267</v>
      </c>
      <c r="H579" s="1">
        <v>91</v>
      </c>
      <c r="I579" s="1">
        <v>71</v>
      </c>
      <c r="J579" s="5">
        <v>44.9</v>
      </c>
      <c r="K579" s="1" t="s">
        <v>20</v>
      </c>
      <c r="L579" s="1" t="s">
        <v>19</v>
      </c>
      <c r="M579" s="10">
        <f t="shared" si="81"/>
        <v>3621832.2271714923</v>
      </c>
      <c r="N579" s="10">
        <f t="shared" si="82"/>
        <v>1787035.9010989012</v>
      </c>
      <c r="O579" s="1">
        <f t="shared" ref="O579:O642" si="83">COUNTIFS($B$2:$B$1000, B579, $G$2:$G$1000, "&gt;"&amp;G579) + 1</f>
        <v>8</v>
      </c>
      <c r="P579" s="1">
        <f t="shared" ref="P579:P642" si="84">COUNTIFS($B$2:$B$1000, B579, $H$2:$H$1000, "&gt;"&amp;H579) + 1</f>
        <v>10</v>
      </c>
      <c r="Q579" s="1">
        <f t="shared" ref="Q579:Q642" si="85">O579-P579</f>
        <v>-2</v>
      </c>
      <c r="R579" s="6">
        <f t="shared" ref="R579:R642" si="86">H579/(H579+I579)</f>
        <v>0.56172839506172845</v>
      </c>
      <c r="S579" s="8">
        <f t="shared" ref="S579:S642" si="87">_xlfn.FORECAST.LINEAR(G579, $H$2:$H$781, $G$2:$G$781)</f>
        <v>84.09687253383359</v>
      </c>
      <c r="T579" s="8">
        <f t="shared" ref="T579:T642" si="88">H579-S579</f>
        <v>6.9031274661664099</v>
      </c>
      <c r="U579" t="str">
        <f t="shared" ref="U579:U642" si="89">IF(G579&lt;80000000,"Low",
 IF(G579&lt;150000000,"Mid","High"))</f>
        <v>High</v>
      </c>
    </row>
    <row r="580" spans="1:21">
      <c r="A580" s="1">
        <v>280</v>
      </c>
      <c r="B580" s="2">
        <v>2019</v>
      </c>
      <c r="C580" s="1" t="s">
        <v>44</v>
      </c>
      <c r="D580" s="1" t="s">
        <v>45</v>
      </c>
      <c r="E580" s="1" t="s">
        <v>26</v>
      </c>
      <c r="F580" s="1" t="s">
        <v>46</v>
      </c>
      <c r="G580" s="11">
        <v>160774666</v>
      </c>
      <c r="H580" s="1">
        <v>107</v>
      </c>
      <c r="I580" s="1">
        <v>55</v>
      </c>
      <c r="J580" s="5">
        <v>57.2</v>
      </c>
      <c r="K580" s="1" t="s">
        <v>20</v>
      </c>
      <c r="L580" s="1" t="s">
        <v>19</v>
      </c>
      <c r="M580" s="10">
        <f t="shared" si="81"/>
        <v>2810745.9090909092</v>
      </c>
      <c r="N580" s="10">
        <f t="shared" si="82"/>
        <v>1502566.9719626168</v>
      </c>
      <c r="O580" s="1">
        <f t="shared" si="83"/>
        <v>9</v>
      </c>
      <c r="P580" s="1">
        <f t="shared" si="84"/>
        <v>1</v>
      </c>
      <c r="Q580" s="1">
        <f t="shared" si="85"/>
        <v>8</v>
      </c>
      <c r="R580" s="6">
        <f t="shared" si="86"/>
        <v>0.66049382716049387</v>
      </c>
      <c r="S580" s="8">
        <f t="shared" si="87"/>
        <v>83.935742218128581</v>
      </c>
      <c r="T580" s="8">
        <f t="shared" si="88"/>
        <v>23.064257781871419</v>
      </c>
      <c r="U580" t="str">
        <f t="shared" si="89"/>
        <v>High</v>
      </c>
    </row>
    <row r="581" spans="1:21">
      <c r="A581" s="1">
        <v>462</v>
      </c>
      <c r="B581" s="2">
        <v>2019</v>
      </c>
      <c r="C581" s="1" t="s">
        <v>59</v>
      </c>
      <c r="D581" s="1" t="s">
        <v>60</v>
      </c>
      <c r="E581" s="1" t="s">
        <v>17</v>
      </c>
      <c r="F581" s="1" t="s">
        <v>23</v>
      </c>
      <c r="G581" s="11">
        <v>158390930</v>
      </c>
      <c r="H581" s="1">
        <v>86</v>
      </c>
      <c r="I581" s="1">
        <v>76</v>
      </c>
      <c r="J581" s="5">
        <v>41.7</v>
      </c>
      <c r="K581" s="1" t="s">
        <v>19</v>
      </c>
      <c r="L581" s="1" t="s">
        <v>19</v>
      </c>
      <c r="M581" s="10">
        <f t="shared" si="81"/>
        <v>3798343.6450839327</v>
      </c>
      <c r="N581" s="10">
        <f t="shared" si="82"/>
        <v>1841755</v>
      </c>
      <c r="O581" s="1">
        <f t="shared" si="83"/>
        <v>10</v>
      </c>
      <c r="P581" s="1">
        <f t="shared" si="84"/>
        <v>12</v>
      </c>
      <c r="Q581" s="1">
        <f t="shared" si="85"/>
        <v>-2</v>
      </c>
      <c r="R581" s="6">
        <f t="shared" si="86"/>
        <v>0.53086419753086422</v>
      </c>
      <c r="S581" s="8">
        <f t="shared" si="87"/>
        <v>83.727629991142692</v>
      </c>
      <c r="T581" s="8">
        <f t="shared" si="88"/>
        <v>2.2723700088573082</v>
      </c>
      <c r="U581" t="str">
        <f t="shared" si="89"/>
        <v>High</v>
      </c>
    </row>
    <row r="582" spans="1:21">
      <c r="A582" s="1">
        <v>644</v>
      </c>
      <c r="B582" s="2">
        <v>2019</v>
      </c>
      <c r="C582" s="1" t="s">
        <v>73</v>
      </c>
      <c r="D582" s="1" t="s">
        <v>74</v>
      </c>
      <c r="E582" s="1" t="s">
        <v>26</v>
      </c>
      <c r="F582" s="1" t="s">
        <v>46</v>
      </c>
      <c r="G582" s="11">
        <v>150906143</v>
      </c>
      <c r="H582" s="1">
        <v>68</v>
      </c>
      <c r="I582" s="1">
        <v>94</v>
      </c>
      <c r="J582" s="5">
        <v>21.9</v>
      </c>
      <c r="K582" s="1" t="s">
        <v>19</v>
      </c>
      <c r="L582" s="1" t="s">
        <v>19</v>
      </c>
      <c r="M582" s="10">
        <f t="shared" si="81"/>
        <v>6890691.4611872155</v>
      </c>
      <c r="N582" s="10">
        <f t="shared" si="82"/>
        <v>2219207.9852941176</v>
      </c>
      <c r="O582" s="1">
        <f t="shared" si="83"/>
        <v>11</v>
      </c>
      <c r="P582" s="1">
        <f t="shared" si="84"/>
        <v>25</v>
      </c>
      <c r="Q582" s="1">
        <f t="shared" si="85"/>
        <v>-14</v>
      </c>
      <c r="R582" s="6">
        <f t="shared" si="86"/>
        <v>0.41975308641975306</v>
      </c>
      <c r="S582" s="8">
        <f t="shared" si="87"/>
        <v>83.074170173828577</v>
      </c>
      <c r="T582" s="8">
        <f t="shared" si="88"/>
        <v>-15.074170173828577</v>
      </c>
      <c r="U582" t="str">
        <f t="shared" si="89"/>
        <v>High</v>
      </c>
    </row>
    <row r="583" spans="1:21">
      <c r="A583" s="1">
        <v>228</v>
      </c>
      <c r="B583" s="2">
        <v>2019</v>
      </c>
      <c r="C583" s="1" t="s">
        <v>40</v>
      </c>
      <c r="D583" s="1" t="s">
        <v>41</v>
      </c>
      <c r="E583" s="1" t="s">
        <v>17</v>
      </c>
      <c r="F583" s="1" t="s">
        <v>18</v>
      </c>
      <c r="G583" s="11">
        <v>147433009</v>
      </c>
      <c r="H583" s="1">
        <v>71</v>
      </c>
      <c r="I583" s="1">
        <v>91</v>
      </c>
      <c r="J583" s="5">
        <v>24.5</v>
      </c>
      <c r="K583" s="1" t="s">
        <v>19</v>
      </c>
      <c r="L583" s="1" t="s">
        <v>19</v>
      </c>
      <c r="M583" s="10">
        <f t="shared" si="81"/>
        <v>6017673.8367346935</v>
      </c>
      <c r="N583" s="10">
        <f t="shared" si="82"/>
        <v>2076521.2535211267</v>
      </c>
      <c r="O583" s="1">
        <f t="shared" si="83"/>
        <v>12</v>
      </c>
      <c r="P583" s="1">
        <f t="shared" si="84"/>
        <v>22</v>
      </c>
      <c r="Q583" s="1">
        <f t="shared" si="85"/>
        <v>-10</v>
      </c>
      <c r="R583" s="6">
        <f t="shared" si="86"/>
        <v>0.43827160493827161</v>
      </c>
      <c r="S583" s="8">
        <f t="shared" si="87"/>
        <v>82.770947983384502</v>
      </c>
      <c r="T583" s="8">
        <f t="shared" si="88"/>
        <v>-11.770947983384502</v>
      </c>
      <c r="U583" t="str">
        <f t="shared" si="89"/>
        <v>Mid</v>
      </c>
    </row>
    <row r="584" spans="1:21">
      <c r="A584" s="1">
        <v>540</v>
      </c>
      <c r="B584" s="2">
        <v>2019</v>
      </c>
      <c r="C584" s="1" t="s">
        <v>65</v>
      </c>
      <c r="D584" s="1" t="s">
        <v>66</v>
      </c>
      <c r="E584" s="1" t="s">
        <v>17</v>
      </c>
      <c r="F584" s="1" t="s">
        <v>23</v>
      </c>
      <c r="G584" s="11">
        <v>140711962</v>
      </c>
      <c r="H584" s="1">
        <v>81</v>
      </c>
      <c r="I584" s="1">
        <v>81</v>
      </c>
      <c r="J584" s="5">
        <v>33.4</v>
      </c>
      <c r="K584" s="1" t="s">
        <v>19</v>
      </c>
      <c r="L584" s="1" t="s">
        <v>19</v>
      </c>
      <c r="M584" s="10">
        <f t="shared" si="81"/>
        <v>4212932.9940119758</v>
      </c>
      <c r="N584" s="10">
        <f t="shared" si="82"/>
        <v>1737184.7160493827</v>
      </c>
      <c r="O584" s="1">
        <f t="shared" si="83"/>
        <v>13</v>
      </c>
      <c r="P584" s="1">
        <f t="shared" si="84"/>
        <v>16</v>
      </c>
      <c r="Q584" s="1">
        <f t="shared" si="85"/>
        <v>-3</v>
      </c>
      <c r="R584" s="6">
        <f t="shared" si="86"/>
        <v>0.5</v>
      </c>
      <c r="S584" s="8">
        <f t="shared" si="87"/>
        <v>82.184166536593892</v>
      </c>
      <c r="T584" s="8">
        <f t="shared" si="88"/>
        <v>-1.1841665365938923</v>
      </c>
      <c r="U584" t="str">
        <f t="shared" si="89"/>
        <v>Mid</v>
      </c>
    </row>
    <row r="585" spans="1:21">
      <c r="A585" s="1">
        <v>722</v>
      </c>
      <c r="B585" s="2">
        <v>2019</v>
      </c>
      <c r="C585" s="1" t="s">
        <v>79</v>
      </c>
      <c r="D585" s="1" t="s">
        <v>80</v>
      </c>
      <c r="E585" s="1" t="s">
        <v>26</v>
      </c>
      <c r="F585" s="1" t="s">
        <v>46</v>
      </c>
      <c r="G585" s="11">
        <v>127660652</v>
      </c>
      <c r="H585" s="1">
        <v>78</v>
      </c>
      <c r="I585" s="1">
        <v>84</v>
      </c>
      <c r="J585" s="5">
        <v>33.9</v>
      </c>
      <c r="K585" s="1" t="s">
        <v>19</v>
      </c>
      <c r="L585" s="1" t="s">
        <v>19</v>
      </c>
      <c r="M585" s="10">
        <f t="shared" si="81"/>
        <v>3765800.9439528026</v>
      </c>
      <c r="N585" s="10">
        <f t="shared" si="82"/>
        <v>1636675.0256410257</v>
      </c>
      <c r="O585" s="1">
        <f t="shared" si="83"/>
        <v>14</v>
      </c>
      <c r="P585" s="1">
        <f t="shared" si="84"/>
        <v>17</v>
      </c>
      <c r="Q585" s="1">
        <f t="shared" si="85"/>
        <v>-3</v>
      </c>
      <c r="R585" s="6">
        <f t="shared" si="86"/>
        <v>0.48148148148148145</v>
      </c>
      <c r="S585" s="8">
        <f t="shared" si="87"/>
        <v>81.044721065625936</v>
      </c>
      <c r="T585" s="8">
        <f t="shared" si="88"/>
        <v>-3.0447210656259358</v>
      </c>
      <c r="U585" t="str">
        <f t="shared" si="89"/>
        <v>Mid</v>
      </c>
    </row>
    <row r="586" spans="1:21">
      <c r="A586" s="1">
        <v>176</v>
      </c>
      <c r="B586" s="2">
        <v>2019</v>
      </c>
      <c r="C586" s="1" t="s">
        <v>36</v>
      </c>
      <c r="D586" s="1" t="s">
        <v>37</v>
      </c>
      <c r="E586" s="1" t="s">
        <v>17</v>
      </c>
      <c r="F586" s="1" t="s">
        <v>32</v>
      </c>
      <c r="G586" s="11">
        <v>126423214</v>
      </c>
      <c r="H586" s="1">
        <v>75</v>
      </c>
      <c r="I586" s="1">
        <v>87</v>
      </c>
      <c r="J586" s="5">
        <v>34.700000000000003</v>
      </c>
      <c r="K586" s="1" t="s">
        <v>19</v>
      </c>
      <c r="L586" s="1" t="s">
        <v>19</v>
      </c>
      <c r="M586" s="10">
        <f t="shared" si="81"/>
        <v>3643320.2881844379</v>
      </c>
      <c r="N586" s="10">
        <f t="shared" si="82"/>
        <v>1685642.8533333333</v>
      </c>
      <c r="O586" s="1">
        <f t="shared" si="83"/>
        <v>15</v>
      </c>
      <c r="P586" s="1">
        <f t="shared" si="84"/>
        <v>19</v>
      </c>
      <c r="Q586" s="1">
        <f t="shared" si="85"/>
        <v>-4</v>
      </c>
      <c r="R586" s="6">
        <f t="shared" si="86"/>
        <v>0.46296296296296297</v>
      </c>
      <c r="S586" s="8">
        <f t="shared" si="87"/>
        <v>80.936686460310185</v>
      </c>
      <c r="T586" s="8">
        <f t="shared" si="88"/>
        <v>-5.9366864603101845</v>
      </c>
      <c r="U586" t="str">
        <f t="shared" si="89"/>
        <v>Mid</v>
      </c>
    </row>
    <row r="587" spans="1:21">
      <c r="A587" s="1">
        <v>410</v>
      </c>
      <c r="B587" s="2">
        <v>2019</v>
      </c>
      <c r="C587" s="1" t="s">
        <v>55</v>
      </c>
      <c r="D587" s="1" t="s">
        <v>56</v>
      </c>
      <c r="E587" s="1" t="s">
        <v>17</v>
      </c>
      <c r="F587" s="1" t="s">
        <v>32</v>
      </c>
      <c r="G587" s="11">
        <v>124755400</v>
      </c>
      <c r="H587" s="1">
        <v>89</v>
      </c>
      <c r="I587" s="1">
        <v>73</v>
      </c>
      <c r="J587" s="5">
        <v>38.9</v>
      </c>
      <c r="K587" s="1" t="s">
        <v>20</v>
      </c>
      <c r="L587" s="1" t="s">
        <v>19</v>
      </c>
      <c r="M587" s="10">
        <f t="shared" si="81"/>
        <v>3207079.6915167095</v>
      </c>
      <c r="N587" s="10">
        <f t="shared" si="82"/>
        <v>1401746.0674157303</v>
      </c>
      <c r="O587" s="1">
        <f t="shared" si="83"/>
        <v>16</v>
      </c>
      <c r="P587" s="1">
        <f t="shared" si="84"/>
        <v>11</v>
      </c>
      <c r="Q587" s="1">
        <f t="shared" si="85"/>
        <v>5</v>
      </c>
      <c r="R587" s="6">
        <f t="shared" si="86"/>
        <v>0.54938271604938271</v>
      </c>
      <c r="S587" s="8">
        <f t="shared" si="87"/>
        <v>80.791077850238324</v>
      </c>
      <c r="T587" s="8">
        <f t="shared" si="88"/>
        <v>8.2089221497616762</v>
      </c>
      <c r="U587" t="str">
        <f t="shared" si="89"/>
        <v>Mid</v>
      </c>
    </row>
    <row r="588" spans="1:21">
      <c r="A588" s="1">
        <v>20</v>
      </c>
      <c r="B588" s="2">
        <v>2019</v>
      </c>
      <c r="C588" s="1" t="s">
        <v>15</v>
      </c>
      <c r="D588" s="1" t="s">
        <v>16</v>
      </c>
      <c r="E588" s="1" t="s">
        <v>17</v>
      </c>
      <c r="F588" s="1" t="s">
        <v>18</v>
      </c>
      <c r="G588" s="11">
        <v>124198914</v>
      </c>
      <c r="H588" s="1">
        <v>85</v>
      </c>
      <c r="I588" s="1">
        <v>77</v>
      </c>
      <c r="J588" s="5">
        <v>40.299999999999997</v>
      </c>
      <c r="K588" s="1" t="s">
        <v>19</v>
      </c>
      <c r="L588" s="1" t="s">
        <v>19</v>
      </c>
      <c r="M588" s="10">
        <f t="shared" si="81"/>
        <v>3081858.9081885857</v>
      </c>
      <c r="N588" s="10">
        <f t="shared" si="82"/>
        <v>1461163.6941176471</v>
      </c>
      <c r="O588" s="1">
        <f t="shared" si="83"/>
        <v>17</v>
      </c>
      <c r="P588" s="1">
        <f t="shared" si="84"/>
        <v>13</v>
      </c>
      <c r="Q588" s="1">
        <f t="shared" si="85"/>
        <v>4</v>
      </c>
      <c r="R588" s="6">
        <f t="shared" si="86"/>
        <v>0.52469135802469136</v>
      </c>
      <c r="S588" s="8">
        <f t="shared" si="87"/>
        <v>80.742493803705287</v>
      </c>
      <c r="T588" s="8">
        <f t="shared" si="88"/>
        <v>4.2575061962947132</v>
      </c>
      <c r="U588" t="str">
        <f t="shared" si="89"/>
        <v>Mid</v>
      </c>
    </row>
    <row r="589" spans="1:21">
      <c r="A589" s="1">
        <v>436</v>
      </c>
      <c r="B589" s="2">
        <v>2019</v>
      </c>
      <c r="C589" s="1" t="s">
        <v>57</v>
      </c>
      <c r="D589" s="1" t="s">
        <v>58</v>
      </c>
      <c r="E589" s="1" t="s">
        <v>26</v>
      </c>
      <c r="F589" s="1" t="s">
        <v>35</v>
      </c>
      <c r="G589" s="11">
        <v>121276933</v>
      </c>
      <c r="H589" s="1">
        <v>101</v>
      </c>
      <c r="I589" s="1">
        <v>61</v>
      </c>
      <c r="J589" s="5">
        <v>48.7</v>
      </c>
      <c r="K589" s="1" t="s">
        <v>20</v>
      </c>
      <c r="L589" s="1" t="s">
        <v>19</v>
      </c>
      <c r="M589" s="10">
        <f t="shared" si="81"/>
        <v>2490286.098562628</v>
      </c>
      <c r="N589" s="10">
        <f t="shared" si="82"/>
        <v>1200761.712871287</v>
      </c>
      <c r="O589" s="1">
        <f t="shared" si="83"/>
        <v>18</v>
      </c>
      <c r="P589" s="1">
        <f t="shared" si="84"/>
        <v>4</v>
      </c>
      <c r="Q589" s="1">
        <f t="shared" si="85"/>
        <v>14</v>
      </c>
      <c r="R589" s="6">
        <f t="shared" si="86"/>
        <v>0.62345679012345678</v>
      </c>
      <c r="S589" s="8">
        <f t="shared" si="87"/>
        <v>80.487390061881342</v>
      </c>
      <c r="T589" s="8">
        <f t="shared" si="88"/>
        <v>20.512609938118658</v>
      </c>
      <c r="U589" t="str">
        <f t="shared" si="89"/>
        <v>Mid</v>
      </c>
    </row>
    <row r="590" spans="1:21">
      <c r="A590" s="1">
        <v>202</v>
      </c>
      <c r="B590" s="2">
        <v>2019</v>
      </c>
      <c r="C590" s="1" t="s">
        <v>38</v>
      </c>
      <c r="D590" s="1" t="s">
        <v>39</v>
      </c>
      <c r="E590" s="1" t="s">
        <v>26</v>
      </c>
      <c r="F590" s="1" t="s">
        <v>35</v>
      </c>
      <c r="G590" s="11">
        <v>119575034</v>
      </c>
      <c r="H590" s="1">
        <v>93</v>
      </c>
      <c r="I590" s="1">
        <v>69</v>
      </c>
      <c r="J590" s="5">
        <v>48.2</v>
      </c>
      <c r="K590" s="1" t="s">
        <v>19</v>
      </c>
      <c r="L590" s="1" t="s">
        <v>19</v>
      </c>
      <c r="M590" s="10">
        <f t="shared" si="81"/>
        <v>2480809.8340248959</v>
      </c>
      <c r="N590" s="10">
        <f t="shared" si="82"/>
        <v>1285753.0537634408</v>
      </c>
      <c r="O590" s="1">
        <f t="shared" si="83"/>
        <v>19</v>
      </c>
      <c r="P590" s="1">
        <f t="shared" si="84"/>
        <v>8</v>
      </c>
      <c r="Q590" s="1">
        <f t="shared" si="85"/>
        <v>11</v>
      </c>
      <c r="R590" s="6">
        <f t="shared" si="86"/>
        <v>0.57407407407407407</v>
      </c>
      <c r="S590" s="8">
        <f t="shared" si="87"/>
        <v>80.338805658660903</v>
      </c>
      <c r="T590" s="8">
        <f t="shared" si="88"/>
        <v>12.661194341339097</v>
      </c>
      <c r="U590" t="str">
        <f t="shared" si="89"/>
        <v>Mid</v>
      </c>
    </row>
    <row r="591" spans="1:21">
      <c r="A591" s="1">
        <v>748</v>
      </c>
      <c r="B591" s="2">
        <v>2019</v>
      </c>
      <c r="C591" s="1" t="s">
        <v>81</v>
      </c>
      <c r="D591" s="1" t="s">
        <v>82</v>
      </c>
      <c r="E591" s="1" t="s">
        <v>26</v>
      </c>
      <c r="F591" s="1" t="s">
        <v>27</v>
      </c>
      <c r="G591" s="11">
        <v>116546171</v>
      </c>
      <c r="H591" s="1">
        <v>67</v>
      </c>
      <c r="I591" s="1">
        <v>95</v>
      </c>
      <c r="J591" s="5">
        <v>23.1</v>
      </c>
      <c r="K591" s="1" t="s">
        <v>19</v>
      </c>
      <c r="L591" s="1" t="s">
        <v>19</v>
      </c>
      <c r="M591" s="10">
        <f t="shared" si="81"/>
        <v>5045288.7878787871</v>
      </c>
      <c r="N591" s="10">
        <f t="shared" si="82"/>
        <v>1739495.0895522388</v>
      </c>
      <c r="O591" s="1">
        <f t="shared" si="83"/>
        <v>20</v>
      </c>
      <c r="P591" s="1">
        <f t="shared" si="84"/>
        <v>26</v>
      </c>
      <c r="Q591" s="1">
        <f t="shared" si="85"/>
        <v>-6</v>
      </c>
      <c r="R591" s="6">
        <f t="shared" si="86"/>
        <v>0.41358024691358025</v>
      </c>
      <c r="S591" s="8">
        <f t="shared" si="87"/>
        <v>80.074370576854378</v>
      </c>
      <c r="T591" s="8">
        <f t="shared" si="88"/>
        <v>-13.074370576854378</v>
      </c>
      <c r="U591" t="str">
        <f t="shared" si="89"/>
        <v>Mid</v>
      </c>
    </row>
    <row r="592" spans="1:21">
      <c r="A592" s="1">
        <v>254</v>
      </c>
      <c r="B592" s="2">
        <v>2019</v>
      </c>
      <c r="C592" s="1" t="s">
        <v>42</v>
      </c>
      <c r="D592" s="1" t="s">
        <v>43</v>
      </c>
      <c r="E592" s="1" t="s">
        <v>26</v>
      </c>
      <c r="F592" s="1" t="s">
        <v>35</v>
      </c>
      <c r="G592" s="11">
        <v>115673500</v>
      </c>
      <c r="H592" s="1">
        <v>47</v>
      </c>
      <c r="I592" s="1">
        <v>114</v>
      </c>
      <c r="J592" s="5">
        <v>12.4</v>
      </c>
      <c r="K592" s="1" t="s">
        <v>19</v>
      </c>
      <c r="L592" s="1" t="s">
        <v>19</v>
      </c>
      <c r="M592" s="10">
        <f t="shared" si="81"/>
        <v>9328508.064516129</v>
      </c>
      <c r="N592" s="10">
        <f t="shared" si="82"/>
        <v>2461138.2978723403</v>
      </c>
      <c r="O592" s="1">
        <f t="shared" si="83"/>
        <v>21</v>
      </c>
      <c r="P592" s="1">
        <f t="shared" si="84"/>
        <v>30</v>
      </c>
      <c r="Q592" s="1">
        <f t="shared" si="85"/>
        <v>-9</v>
      </c>
      <c r="R592" s="6">
        <f t="shared" si="86"/>
        <v>0.29192546583850931</v>
      </c>
      <c r="S592" s="8">
        <f t="shared" si="87"/>
        <v>79.998181978269628</v>
      </c>
      <c r="T592" s="8">
        <f t="shared" si="88"/>
        <v>-32.998181978269628</v>
      </c>
      <c r="U592" t="str">
        <f t="shared" si="89"/>
        <v>Mid</v>
      </c>
    </row>
    <row r="593" spans="1:21">
      <c r="A593" s="1">
        <v>46</v>
      </c>
      <c r="B593" s="2">
        <v>2019</v>
      </c>
      <c r="C593" s="1" t="s">
        <v>21</v>
      </c>
      <c r="D593" s="1" t="s">
        <v>22</v>
      </c>
      <c r="E593" s="1" t="s">
        <v>17</v>
      </c>
      <c r="F593" s="1" t="s">
        <v>23</v>
      </c>
      <c r="G593" s="11">
        <v>115221666</v>
      </c>
      <c r="H593" s="1">
        <v>97</v>
      </c>
      <c r="I593" s="1">
        <v>65</v>
      </c>
      <c r="J593" s="5">
        <v>43.1</v>
      </c>
      <c r="K593" s="1" t="s">
        <v>20</v>
      </c>
      <c r="L593" s="1" t="s">
        <v>19</v>
      </c>
      <c r="M593" s="10">
        <f t="shared" si="81"/>
        <v>2673356.5197215774</v>
      </c>
      <c r="N593" s="10">
        <f t="shared" si="82"/>
        <v>1187852.2268041237</v>
      </c>
      <c r="O593" s="1">
        <f t="shared" si="83"/>
        <v>22</v>
      </c>
      <c r="P593" s="1">
        <f t="shared" si="84"/>
        <v>5</v>
      </c>
      <c r="Q593" s="1">
        <f t="shared" si="85"/>
        <v>17</v>
      </c>
      <c r="R593" s="6">
        <f t="shared" si="86"/>
        <v>0.59876543209876543</v>
      </c>
      <c r="S593" s="8">
        <f t="shared" si="87"/>
        <v>79.958734581423698</v>
      </c>
      <c r="T593" s="8">
        <f t="shared" si="88"/>
        <v>17.041265418576302</v>
      </c>
      <c r="U593" t="str">
        <f t="shared" si="89"/>
        <v>Mid</v>
      </c>
    </row>
    <row r="594" spans="1:21">
      <c r="A594" s="1">
        <v>306</v>
      </c>
      <c r="B594" s="2">
        <v>2019</v>
      </c>
      <c r="C594" s="1" t="s">
        <v>47</v>
      </c>
      <c r="D594" s="1" t="s">
        <v>48</v>
      </c>
      <c r="E594" s="1" t="s">
        <v>26</v>
      </c>
      <c r="F594" s="1" t="s">
        <v>35</v>
      </c>
      <c r="G594" s="11">
        <v>100563292</v>
      </c>
      <c r="H594" s="1">
        <v>59</v>
      </c>
      <c r="I594" s="1">
        <v>103</v>
      </c>
      <c r="J594" s="5">
        <v>21.5</v>
      </c>
      <c r="K594" s="1" t="s">
        <v>19</v>
      </c>
      <c r="L594" s="1" t="s">
        <v>19</v>
      </c>
      <c r="M594" s="10">
        <f t="shared" si="81"/>
        <v>4677362.4186046515</v>
      </c>
      <c r="N594" s="10">
        <f t="shared" si="82"/>
        <v>1704462.5762711863</v>
      </c>
      <c r="O594" s="1">
        <f t="shared" si="83"/>
        <v>23</v>
      </c>
      <c r="P594" s="1">
        <f t="shared" si="84"/>
        <v>27</v>
      </c>
      <c r="Q594" s="1">
        <f t="shared" si="85"/>
        <v>-4</v>
      </c>
      <c r="R594" s="6">
        <f t="shared" si="86"/>
        <v>0.36419753086419754</v>
      </c>
      <c r="S594" s="8">
        <f t="shared" si="87"/>
        <v>78.67898428309698</v>
      </c>
      <c r="T594" s="8">
        <f t="shared" si="88"/>
        <v>-19.67898428309698</v>
      </c>
      <c r="U594" t="str">
        <f t="shared" si="89"/>
        <v>Mid</v>
      </c>
    </row>
    <row r="595" spans="1:21">
      <c r="A595" s="1">
        <v>592</v>
      </c>
      <c r="B595" s="2">
        <v>2019</v>
      </c>
      <c r="C595" s="1" t="s">
        <v>69</v>
      </c>
      <c r="D595" s="1" t="s">
        <v>70</v>
      </c>
      <c r="E595" s="1" t="s">
        <v>17</v>
      </c>
      <c r="F595" s="1" t="s">
        <v>18</v>
      </c>
      <c r="G595" s="11">
        <v>100106200</v>
      </c>
      <c r="H595" s="1">
        <v>70</v>
      </c>
      <c r="I595" s="1">
        <v>92</v>
      </c>
      <c r="J595" s="5">
        <v>29.7</v>
      </c>
      <c r="K595" s="1" t="s">
        <v>19</v>
      </c>
      <c r="L595" s="1" t="s">
        <v>19</v>
      </c>
      <c r="M595" s="10">
        <f t="shared" si="81"/>
        <v>3370579.1245791246</v>
      </c>
      <c r="N595" s="10">
        <f t="shared" si="82"/>
        <v>1430088.5714285714</v>
      </c>
      <c r="O595" s="1">
        <f t="shared" si="83"/>
        <v>24</v>
      </c>
      <c r="P595" s="1">
        <f t="shared" si="84"/>
        <v>23</v>
      </c>
      <c r="Q595" s="1">
        <f t="shared" si="85"/>
        <v>1</v>
      </c>
      <c r="R595" s="6">
        <f t="shared" si="86"/>
        <v>0.43209876543209874</v>
      </c>
      <c r="S595" s="8">
        <f t="shared" si="87"/>
        <v>78.639077836218036</v>
      </c>
      <c r="T595" s="8">
        <f t="shared" si="88"/>
        <v>-8.6390778362180356</v>
      </c>
      <c r="U595" t="str">
        <f t="shared" si="89"/>
        <v>Mid</v>
      </c>
    </row>
    <row r="596" spans="1:21">
      <c r="A596" s="1">
        <v>514</v>
      </c>
      <c r="B596" s="2">
        <v>2019</v>
      </c>
      <c r="C596" s="1" t="s">
        <v>63</v>
      </c>
      <c r="D596" s="1" t="s">
        <v>64</v>
      </c>
      <c r="E596" s="1" t="s">
        <v>26</v>
      </c>
      <c r="F596" s="1" t="s">
        <v>46</v>
      </c>
      <c r="G596" s="11">
        <v>92318333</v>
      </c>
      <c r="H596" s="1">
        <v>97</v>
      </c>
      <c r="I596" s="1">
        <v>65</v>
      </c>
      <c r="J596" s="5">
        <v>52.2</v>
      </c>
      <c r="K596" s="1" t="s">
        <v>20</v>
      </c>
      <c r="L596" s="1" t="s">
        <v>19</v>
      </c>
      <c r="M596" s="10">
        <f t="shared" si="81"/>
        <v>1768550.4406130267</v>
      </c>
      <c r="N596" s="10">
        <f t="shared" si="82"/>
        <v>951735.39175257727</v>
      </c>
      <c r="O596" s="1">
        <f t="shared" si="83"/>
        <v>25</v>
      </c>
      <c r="P596" s="1">
        <f t="shared" si="84"/>
        <v>5</v>
      </c>
      <c r="Q596" s="1">
        <f t="shared" si="85"/>
        <v>20</v>
      </c>
      <c r="R596" s="6">
        <f t="shared" si="86"/>
        <v>0.59876543209876543</v>
      </c>
      <c r="S596" s="8">
        <f t="shared" si="87"/>
        <v>77.959157599732151</v>
      </c>
      <c r="T596" s="8">
        <f t="shared" si="88"/>
        <v>19.040842400267849</v>
      </c>
      <c r="U596" t="str">
        <f t="shared" si="89"/>
        <v>Mid</v>
      </c>
    </row>
    <row r="597" spans="1:21">
      <c r="A597" s="1">
        <v>150</v>
      </c>
      <c r="B597" s="2">
        <v>2019</v>
      </c>
      <c r="C597" s="1" t="s">
        <v>33</v>
      </c>
      <c r="D597" s="1" t="s">
        <v>34</v>
      </c>
      <c r="E597" s="1" t="s">
        <v>26</v>
      </c>
      <c r="F597" s="1" t="s">
        <v>35</v>
      </c>
      <c r="G597" s="11">
        <v>89902000</v>
      </c>
      <c r="H597" s="1">
        <v>72</v>
      </c>
      <c r="I597" s="1">
        <v>89</v>
      </c>
      <c r="J597" s="5">
        <v>26.4</v>
      </c>
      <c r="K597" s="1" t="s">
        <v>19</v>
      </c>
      <c r="L597" s="1" t="s">
        <v>19</v>
      </c>
      <c r="M597" s="10">
        <f t="shared" si="81"/>
        <v>3405378.7878787881</v>
      </c>
      <c r="N597" s="10">
        <f t="shared" si="82"/>
        <v>1248638.888888889</v>
      </c>
      <c r="O597" s="1">
        <f t="shared" si="83"/>
        <v>26</v>
      </c>
      <c r="P597" s="1">
        <f t="shared" si="84"/>
        <v>20</v>
      </c>
      <c r="Q597" s="1">
        <f t="shared" si="85"/>
        <v>6</v>
      </c>
      <c r="R597" s="6">
        <f t="shared" si="86"/>
        <v>0.44720496894409939</v>
      </c>
      <c r="S597" s="8">
        <f t="shared" si="87"/>
        <v>77.748199489534741</v>
      </c>
      <c r="T597" s="8">
        <f t="shared" si="88"/>
        <v>-5.7481994895347412</v>
      </c>
      <c r="U597" t="str">
        <f t="shared" si="89"/>
        <v>Mid</v>
      </c>
    </row>
    <row r="598" spans="1:21">
      <c r="A598" s="1">
        <v>72</v>
      </c>
      <c r="B598" s="2">
        <v>2019</v>
      </c>
      <c r="C598" s="1" t="s">
        <v>24</v>
      </c>
      <c r="D598" s="1" t="s">
        <v>25</v>
      </c>
      <c r="E598" s="1" t="s">
        <v>26</v>
      </c>
      <c r="F598" s="1" t="s">
        <v>27</v>
      </c>
      <c r="G598" s="11">
        <v>80214882</v>
      </c>
      <c r="H598" s="1">
        <v>54</v>
      </c>
      <c r="I598" s="1">
        <v>108</v>
      </c>
      <c r="J598" s="5">
        <v>14.2</v>
      </c>
      <c r="K598" s="1" t="s">
        <v>19</v>
      </c>
      <c r="L598" s="1" t="s">
        <v>19</v>
      </c>
      <c r="M598" s="10">
        <f t="shared" si="81"/>
        <v>5648935.352112676</v>
      </c>
      <c r="N598" s="10">
        <f t="shared" si="82"/>
        <v>1485460.7777777778</v>
      </c>
      <c r="O598" s="1">
        <f t="shared" si="83"/>
        <v>27</v>
      </c>
      <c r="P598" s="1">
        <f t="shared" si="84"/>
        <v>29</v>
      </c>
      <c r="Q598" s="1">
        <f t="shared" si="85"/>
        <v>-2</v>
      </c>
      <c r="R598" s="6">
        <f t="shared" si="86"/>
        <v>0.33333333333333331</v>
      </c>
      <c r="S598" s="8">
        <f t="shared" si="87"/>
        <v>76.902465020593922</v>
      </c>
      <c r="T598" s="8">
        <f t="shared" si="88"/>
        <v>-22.902465020593922</v>
      </c>
      <c r="U598" t="str">
        <f t="shared" si="89"/>
        <v>Mid</v>
      </c>
    </row>
    <row r="599" spans="1:21">
      <c r="A599" s="1">
        <v>566</v>
      </c>
      <c r="B599" s="2">
        <v>2019</v>
      </c>
      <c r="C599" s="1" t="s">
        <v>67</v>
      </c>
      <c r="D599" s="1" t="s">
        <v>68</v>
      </c>
      <c r="E599" s="1" t="s">
        <v>17</v>
      </c>
      <c r="F599" s="1" t="s">
        <v>32</v>
      </c>
      <c r="G599" s="11">
        <v>78589154</v>
      </c>
      <c r="H599" s="1">
        <v>69</v>
      </c>
      <c r="I599" s="1">
        <v>93</v>
      </c>
      <c r="J599" s="5">
        <v>18.600000000000001</v>
      </c>
      <c r="K599" s="1" t="s">
        <v>19</v>
      </c>
      <c r="L599" s="1" t="s">
        <v>19</v>
      </c>
      <c r="M599" s="10">
        <f t="shared" si="81"/>
        <v>4225223.333333333</v>
      </c>
      <c r="N599" s="10">
        <f t="shared" si="82"/>
        <v>1138973.2463768115</v>
      </c>
      <c r="O599" s="1">
        <f t="shared" si="83"/>
        <v>28</v>
      </c>
      <c r="P599" s="1">
        <f t="shared" si="84"/>
        <v>24</v>
      </c>
      <c r="Q599" s="1">
        <f t="shared" si="85"/>
        <v>4</v>
      </c>
      <c r="R599" s="6">
        <f t="shared" si="86"/>
        <v>0.42592592592592593</v>
      </c>
      <c r="S599" s="8">
        <f t="shared" si="87"/>
        <v>76.760530731497596</v>
      </c>
      <c r="T599" s="8">
        <f t="shared" si="88"/>
        <v>-7.760530731497596</v>
      </c>
      <c r="U599" t="str">
        <f t="shared" si="89"/>
        <v>Low</v>
      </c>
    </row>
    <row r="600" spans="1:21">
      <c r="A600" s="1">
        <v>384</v>
      </c>
      <c r="B600" s="2">
        <v>2019</v>
      </c>
      <c r="C600" s="1" t="s">
        <v>53</v>
      </c>
      <c r="D600" s="1" t="s">
        <v>54</v>
      </c>
      <c r="E600" s="1" t="s">
        <v>17</v>
      </c>
      <c r="F600" s="1" t="s">
        <v>23</v>
      </c>
      <c r="G600" s="11">
        <v>71903319</v>
      </c>
      <c r="H600" s="1">
        <v>57</v>
      </c>
      <c r="I600" s="1">
        <v>105</v>
      </c>
      <c r="J600" s="5">
        <v>19.8</v>
      </c>
      <c r="K600" s="1" t="s">
        <v>19</v>
      </c>
      <c r="L600" s="1" t="s">
        <v>19</v>
      </c>
      <c r="M600" s="10">
        <f t="shared" si="81"/>
        <v>3631480.7575757573</v>
      </c>
      <c r="N600" s="10">
        <f t="shared" si="82"/>
        <v>1261461.7368421052</v>
      </c>
      <c r="O600" s="1">
        <f t="shared" si="83"/>
        <v>29</v>
      </c>
      <c r="P600" s="1">
        <f t="shared" si="84"/>
        <v>28</v>
      </c>
      <c r="Q600" s="1">
        <f t="shared" si="85"/>
        <v>1</v>
      </c>
      <c r="R600" s="6">
        <f t="shared" si="86"/>
        <v>0.35185185185185186</v>
      </c>
      <c r="S600" s="8">
        <f t="shared" si="87"/>
        <v>76.17682347066409</v>
      </c>
      <c r="T600" s="8">
        <f t="shared" si="88"/>
        <v>-19.17682347066409</v>
      </c>
      <c r="U600" t="str">
        <f t="shared" si="89"/>
        <v>Low</v>
      </c>
    </row>
    <row r="601" spans="1:21">
      <c r="A601" s="1">
        <v>696</v>
      </c>
      <c r="B601" s="2">
        <v>2019</v>
      </c>
      <c r="C601" s="1" t="s">
        <v>77</v>
      </c>
      <c r="D601" s="1" t="s">
        <v>78</v>
      </c>
      <c r="E601" s="1" t="s">
        <v>26</v>
      </c>
      <c r="F601" s="1" t="s">
        <v>27</v>
      </c>
      <c r="G601" s="11">
        <v>62444931</v>
      </c>
      <c r="H601" s="1">
        <v>96</v>
      </c>
      <c r="I601" s="1">
        <v>66</v>
      </c>
      <c r="J601" s="5">
        <v>48.1</v>
      </c>
      <c r="K601" s="1" t="s">
        <v>20</v>
      </c>
      <c r="L601" s="1" t="s">
        <v>19</v>
      </c>
      <c r="M601" s="10">
        <f t="shared" si="81"/>
        <v>1298231.4137214136</v>
      </c>
      <c r="N601" s="10">
        <f t="shared" si="82"/>
        <v>650468.03125</v>
      </c>
      <c r="O601" s="1">
        <f t="shared" si="83"/>
        <v>30</v>
      </c>
      <c r="P601" s="1">
        <f t="shared" si="84"/>
        <v>7</v>
      </c>
      <c r="Q601" s="1">
        <f t="shared" si="85"/>
        <v>23</v>
      </c>
      <c r="R601" s="6">
        <f t="shared" si="86"/>
        <v>0.59259259259259256</v>
      </c>
      <c r="S601" s="8">
        <f t="shared" si="87"/>
        <v>75.351058289294741</v>
      </c>
      <c r="T601" s="8">
        <f t="shared" si="88"/>
        <v>20.648941710705259</v>
      </c>
      <c r="U601" t="str">
        <f t="shared" si="89"/>
        <v>Low</v>
      </c>
    </row>
    <row r="602" spans="1:21">
      <c r="A602" s="1">
        <v>21</v>
      </c>
      <c r="B602" s="2">
        <v>2020</v>
      </c>
      <c r="C602" s="1" t="s">
        <v>15</v>
      </c>
      <c r="D602" s="1" t="s">
        <v>16</v>
      </c>
      <c r="E602" s="1" t="s">
        <v>17</v>
      </c>
      <c r="F602" s="1" t="s">
        <v>18</v>
      </c>
      <c r="G602" s="11">
        <v>115221666</v>
      </c>
      <c r="H602" s="1">
        <v>25</v>
      </c>
      <c r="I602" s="1">
        <v>35</v>
      </c>
      <c r="J602" s="5">
        <v>21.3</v>
      </c>
      <c r="K602" s="1" t="s">
        <v>19</v>
      </c>
      <c r="L602" s="1" t="s">
        <v>19</v>
      </c>
      <c r="M602" s="10">
        <f t="shared" si="81"/>
        <v>5409467.8873239439</v>
      </c>
      <c r="N602" s="10">
        <f t="shared" si="82"/>
        <v>4608866.6399999997</v>
      </c>
      <c r="O602" s="1">
        <f t="shared" si="83"/>
        <v>1</v>
      </c>
      <c r="P602" s="1">
        <f t="shared" si="84"/>
        <v>25</v>
      </c>
      <c r="Q602" s="1">
        <f t="shared" si="85"/>
        <v>-24</v>
      </c>
      <c r="R602" s="6">
        <f t="shared" si="86"/>
        <v>0.41666666666666669</v>
      </c>
      <c r="S602" s="8">
        <f t="shared" si="87"/>
        <v>79.958734581423698</v>
      </c>
      <c r="T602" s="8">
        <f t="shared" si="88"/>
        <v>-54.958734581423698</v>
      </c>
      <c r="U602" t="str">
        <f t="shared" si="89"/>
        <v>Mid</v>
      </c>
    </row>
    <row r="603" spans="1:21">
      <c r="A603" s="1">
        <v>47</v>
      </c>
      <c r="B603" s="2">
        <v>2020</v>
      </c>
      <c r="C603" s="1" t="s">
        <v>21</v>
      </c>
      <c r="D603" s="1" t="s">
        <v>22</v>
      </c>
      <c r="E603" s="1" t="s">
        <v>17</v>
      </c>
      <c r="F603" s="1" t="s">
        <v>23</v>
      </c>
      <c r="G603" s="11">
        <v>115221666</v>
      </c>
      <c r="H603" s="1">
        <v>35</v>
      </c>
      <c r="I603" s="1">
        <v>25</v>
      </c>
      <c r="J603" s="5">
        <v>48.1</v>
      </c>
      <c r="K603" s="1" t="s">
        <v>20</v>
      </c>
      <c r="L603" s="1" t="s">
        <v>19</v>
      </c>
      <c r="M603" s="10">
        <f t="shared" si="81"/>
        <v>2395460.8316008314</v>
      </c>
      <c r="N603" s="10">
        <f t="shared" si="82"/>
        <v>3292047.6</v>
      </c>
      <c r="O603" s="1">
        <f t="shared" si="83"/>
        <v>1</v>
      </c>
      <c r="P603" s="1">
        <f t="shared" si="84"/>
        <v>6</v>
      </c>
      <c r="Q603" s="1">
        <f t="shared" si="85"/>
        <v>-5</v>
      </c>
      <c r="R603" s="6">
        <f t="shared" si="86"/>
        <v>0.58333333333333337</v>
      </c>
      <c r="S603" s="8">
        <f t="shared" si="87"/>
        <v>79.958734581423698</v>
      </c>
      <c r="T603" s="8">
        <f t="shared" si="88"/>
        <v>-44.958734581423698</v>
      </c>
      <c r="U603" t="str">
        <f t="shared" si="89"/>
        <v>Mid</v>
      </c>
    </row>
    <row r="604" spans="1:21">
      <c r="A604" s="1">
        <v>73</v>
      </c>
      <c r="B604" s="2">
        <v>2020</v>
      </c>
      <c r="C604" s="1" t="s">
        <v>24</v>
      </c>
      <c r="D604" s="1" t="s">
        <v>25</v>
      </c>
      <c r="E604" s="1" t="s">
        <v>26</v>
      </c>
      <c r="F604" s="1" t="s">
        <v>27</v>
      </c>
      <c r="G604" s="11">
        <v>115221666</v>
      </c>
      <c r="H604" s="1">
        <v>25</v>
      </c>
      <c r="I604" s="1">
        <v>35</v>
      </c>
      <c r="J604" s="5">
        <v>21.6</v>
      </c>
      <c r="K604" s="1" t="s">
        <v>19</v>
      </c>
      <c r="L604" s="1" t="s">
        <v>19</v>
      </c>
      <c r="M604" s="10">
        <f t="shared" si="81"/>
        <v>5334336.388888889</v>
      </c>
      <c r="N604" s="10">
        <f t="shared" si="82"/>
        <v>4608866.6399999997</v>
      </c>
      <c r="O604" s="1">
        <f t="shared" si="83"/>
        <v>1</v>
      </c>
      <c r="P604" s="1">
        <f t="shared" si="84"/>
        <v>25</v>
      </c>
      <c r="Q604" s="1">
        <f t="shared" si="85"/>
        <v>-24</v>
      </c>
      <c r="R604" s="6">
        <f t="shared" si="86"/>
        <v>0.41666666666666669</v>
      </c>
      <c r="S604" s="8">
        <f t="shared" si="87"/>
        <v>79.958734581423698</v>
      </c>
      <c r="T604" s="8">
        <f t="shared" si="88"/>
        <v>-54.958734581423698</v>
      </c>
      <c r="U604" t="str">
        <f t="shared" si="89"/>
        <v>Mid</v>
      </c>
    </row>
    <row r="605" spans="1:21">
      <c r="A605" s="1">
        <v>359</v>
      </c>
      <c r="B605" s="2">
        <v>2020</v>
      </c>
      <c r="C605" s="1" t="s">
        <v>51</v>
      </c>
      <c r="D605" s="1" t="s">
        <v>52</v>
      </c>
      <c r="E605" s="1" t="s">
        <v>17</v>
      </c>
      <c r="F605" s="1" t="s">
        <v>18</v>
      </c>
      <c r="G605" s="10">
        <v>98596239</v>
      </c>
      <c r="H605" s="1">
        <v>43</v>
      </c>
      <c r="I605" s="1">
        <v>17</v>
      </c>
      <c r="J605" s="5">
        <v>63.4</v>
      </c>
      <c r="K605" s="1" t="s">
        <v>20</v>
      </c>
      <c r="L605" s="1" t="s">
        <v>20</v>
      </c>
      <c r="M605" s="10">
        <f t="shared" si="81"/>
        <v>1555145.7255520504</v>
      </c>
      <c r="N605" s="10">
        <f t="shared" si="82"/>
        <v>2292935.7906976743</v>
      </c>
      <c r="O605" s="1">
        <f t="shared" si="83"/>
        <v>4</v>
      </c>
      <c r="P605" s="1">
        <f t="shared" si="84"/>
        <v>1</v>
      </c>
      <c r="Q605" s="1">
        <f t="shared" si="85"/>
        <v>3</v>
      </c>
      <c r="R605" s="6">
        <f t="shared" si="86"/>
        <v>0.71666666666666667</v>
      </c>
      <c r="S605" s="8">
        <f t="shared" si="87"/>
        <v>78.507250592608912</v>
      </c>
      <c r="T605" s="8">
        <f t="shared" si="88"/>
        <v>-35.507250592608912</v>
      </c>
      <c r="U605" t="str">
        <f t="shared" si="89"/>
        <v>Mid</v>
      </c>
    </row>
    <row r="606" spans="1:21">
      <c r="A606" s="1">
        <v>489</v>
      </c>
      <c r="B606" s="2">
        <v>2020</v>
      </c>
      <c r="C606" s="1" t="s">
        <v>61</v>
      </c>
      <c r="D606" s="1" t="s">
        <v>62</v>
      </c>
      <c r="E606" s="1" t="s">
        <v>26</v>
      </c>
      <c r="F606" s="1" t="s">
        <v>27</v>
      </c>
      <c r="G606" s="10">
        <v>83561405</v>
      </c>
      <c r="H606" s="1">
        <v>33</v>
      </c>
      <c r="I606" s="1">
        <v>27</v>
      </c>
      <c r="J606" s="5">
        <v>41.2</v>
      </c>
      <c r="K606" s="1" t="s">
        <v>20</v>
      </c>
      <c r="L606" s="1" t="s">
        <v>19</v>
      </c>
      <c r="M606" s="10">
        <f t="shared" si="81"/>
        <v>2028189.4417475727</v>
      </c>
      <c r="N606" s="10">
        <f t="shared" si="82"/>
        <v>2532163.7878787881</v>
      </c>
      <c r="O606" s="1">
        <f t="shared" si="83"/>
        <v>5</v>
      </c>
      <c r="P606" s="1">
        <f t="shared" si="84"/>
        <v>10</v>
      </c>
      <c r="Q606" s="1">
        <f t="shared" si="85"/>
        <v>-5</v>
      </c>
      <c r="R606" s="6">
        <f t="shared" si="86"/>
        <v>0.55000000000000004</v>
      </c>
      <c r="S606" s="8">
        <f t="shared" si="87"/>
        <v>77.194633429423391</v>
      </c>
      <c r="T606" s="8">
        <f t="shared" si="88"/>
        <v>-44.194633429423391</v>
      </c>
      <c r="U606" t="str">
        <f t="shared" si="89"/>
        <v>Mid</v>
      </c>
    </row>
    <row r="607" spans="1:21">
      <c r="A607" s="1">
        <v>463</v>
      </c>
      <c r="B607" s="2">
        <v>2020</v>
      </c>
      <c r="C607" s="1" t="s">
        <v>59</v>
      </c>
      <c r="D607" s="1" t="s">
        <v>60</v>
      </c>
      <c r="E607" s="1" t="s">
        <v>17</v>
      </c>
      <c r="F607" s="1" t="s">
        <v>23</v>
      </c>
      <c r="G607" s="10">
        <v>83386464</v>
      </c>
      <c r="H607" s="1">
        <v>26</v>
      </c>
      <c r="I607" s="1">
        <v>34</v>
      </c>
      <c r="J607" s="5">
        <v>33.9</v>
      </c>
      <c r="K607" s="1" t="s">
        <v>19</v>
      </c>
      <c r="L607" s="1" t="s">
        <v>19</v>
      </c>
      <c r="M607" s="10">
        <f t="shared" si="81"/>
        <v>2459777.6991150444</v>
      </c>
      <c r="N607" s="10">
        <f t="shared" si="82"/>
        <v>3207171.6923076925</v>
      </c>
      <c r="O607" s="1">
        <f t="shared" si="83"/>
        <v>6</v>
      </c>
      <c r="P607" s="1">
        <f t="shared" si="84"/>
        <v>20</v>
      </c>
      <c r="Q607" s="1">
        <f t="shared" si="85"/>
        <v>-14</v>
      </c>
      <c r="R607" s="6">
        <f t="shared" si="86"/>
        <v>0.43333333333333335</v>
      </c>
      <c r="S607" s="8">
        <f t="shared" si="87"/>
        <v>77.179360194005895</v>
      </c>
      <c r="T607" s="8">
        <f t="shared" si="88"/>
        <v>-51.179360194005895</v>
      </c>
      <c r="U607" t="str">
        <f t="shared" si="89"/>
        <v>Mid</v>
      </c>
    </row>
    <row r="608" spans="1:21">
      <c r="A608" s="1">
        <v>281</v>
      </c>
      <c r="B608" s="2">
        <v>2020</v>
      </c>
      <c r="C608" s="1" t="s">
        <v>44</v>
      </c>
      <c r="D608" s="1" t="s">
        <v>45</v>
      </c>
      <c r="E608" s="1" t="s">
        <v>26</v>
      </c>
      <c r="F608" s="1" t="s">
        <v>46</v>
      </c>
      <c r="G608" s="10">
        <v>81422510</v>
      </c>
      <c r="H608" s="1">
        <v>29</v>
      </c>
      <c r="I608" s="1">
        <v>31</v>
      </c>
      <c r="J608" s="5">
        <v>31.4</v>
      </c>
      <c r="K608" s="1" t="s">
        <v>20</v>
      </c>
      <c r="L608" s="1" t="s">
        <v>19</v>
      </c>
      <c r="M608" s="10">
        <f t="shared" si="81"/>
        <v>2593073.566878981</v>
      </c>
      <c r="N608" s="10">
        <f t="shared" si="82"/>
        <v>2807672.7586206896</v>
      </c>
      <c r="O608" s="1">
        <f t="shared" si="83"/>
        <v>7</v>
      </c>
      <c r="P608" s="1">
        <f t="shared" si="84"/>
        <v>15</v>
      </c>
      <c r="Q608" s="1">
        <f t="shared" si="85"/>
        <v>-8</v>
      </c>
      <c r="R608" s="6">
        <f t="shared" si="86"/>
        <v>0.48333333333333334</v>
      </c>
      <c r="S608" s="8">
        <f t="shared" si="87"/>
        <v>77.007897061914989</v>
      </c>
      <c r="T608" s="8">
        <f t="shared" si="88"/>
        <v>-48.007897061914989</v>
      </c>
      <c r="U608" t="str">
        <f t="shared" si="89"/>
        <v>Mid</v>
      </c>
    </row>
    <row r="609" spans="1:21">
      <c r="A609" s="1">
        <v>125</v>
      </c>
      <c r="B609" s="2">
        <v>2020</v>
      </c>
      <c r="C609" s="1" t="s">
        <v>30</v>
      </c>
      <c r="D609" s="1" t="s">
        <v>31</v>
      </c>
      <c r="E609" s="1" t="s">
        <v>17</v>
      </c>
      <c r="F609" s="1" t="s">
        <v>32</v>
      </c>
      <c r="G609" s="10">
        <v>80584972</v>
      </c>
      <c r="H609" s="1">
        <v>34</v>
      </c>
      <c r="I609" s="1">
        <v>26</v>
      </c>
      <c r="J609" s="5">
        <v>42.9</v>
      </c>
      <c r="K609" s="1" t="s">
        <v>20</v>
      </c>
      <c r="L609" s="1" t="s">
        <v>19</v>
      </c>
      <c r="M609" s="10">
        <f t="shared" si="81"/>
        <v>1878437.5757575759</v>
      </c>
      <c r="N609" s="10">
        <f t="shared" si="82"/>
        <v>2370146.2352941176</v>
      </c>
      <c r="O609" s="1">
        <f t="shared" si="83"/>
        <v>8</v>
      </c>
      <c r="P609" s="1">
        <f t="shared" si="84"/>
        <v>9</v>
      </c>
      <c r="Q609" s="1">
        <f t="shared" si="85"/>
        <v>-1</v>
      </c>
      <c r="R609" s="6">
        <f t="shared" si="86"/>
        <v>0.56666666666666665</v>
      </c>
      <c r="S609" s="8">
        <f t="shared" si="87"/>
        <v>76.934775752187193</v>
      </c>
      <c r="T609" s="8">
        <f t="shared" si="88"/>
        <v>-42.934775752187193</v>
      </c>
      <c r="U609" t="str">
        <f t="shared" si="89"/>
        <v>Mid</v>
      </c>
    </row>
    <row r="610" spans="1:21">
      <c r="A610" s="1">
        <v>593</v>
      </c>
      <c r="B610" s="2">
        <v>2020</v>
      </c>
      <c r="C610" s="1" t="s">
        <v>69</v>
      </c>
      <c r="D610" s="1" t="s">
        <v>70</v>
      </c>
      <c r="E610" s="1" t="s">
        <v>17</v>
      </c>
      <c r="F610" s="1" t="s">
        <v>18</v>
      </c>
      <c r="G610" s="10">
        <v>76324784</v>
      </c>
      <c r="H610" s="1">
        <v>37</v>
      </c>
      <c r="I610" s="1">
        <v>23</v>
      </c>
      <c r="J610" s="5">
        <v>55.6</v>
      </c>
      <c r="K610" s="1" t="s">
        <v>20</v>
      </c>
      <c r="L610" s="1" t="s">
        <v>19</v>
      </c>
      <c r="M610" s="10">
        <f t="shared" si="81"/>
        <v>1372747.9136690646</v>
      </c>
      <c r="N610" s="10">
        <f t="shared" si="82"/>
        <v>2062832</v>
      </c>
      <c r="O610" s="1">
        <f t="shared" si="83"/>
        <v>9</v>
      </c>
      <c r="P610" s="1">
        <f t="shared" si="84"/>
        <v>3</v>
      </c>
      <c r="Q610" s="1">
        <f t="shared" si="85"/>
        <v>6</v>
      </c>
      <c r="R610" s="6">
        <f t="shared" si="86"/>
        <v>0.6166666666666667</v>
      </c>
      <c r="S610" s="8">
        <f t="shared" si="87"/>
        <v>76.562839760928682</v>
      </c>
      <c r="T610" s="8">
        <f t="shared" si="88"/>
        <v>-39.562839760928682</v>
      </c>
      <c r="U610" t="str">
        <f t="shared" si="89"/>
        <v>Low</v>
      </c>
    </row>
    <row r="611" spans="1:21">
      <c r="A611" s="1">
        <v>775</v>
      </c>
      <c r="B611" s="2">
        <v>2020</v>
      </c>
      <c r="C611" s="1" t="s">
        <v>83</v>
      </c>
      <c r="D611" s="1" t="s">
        <v>84</v>
      </c>
      <c r="E611" s="1" t="s">
        <v>17</v>
      </c>
      <c r="F611" s="1" t="s">
        <v>23</v>
      </c>
      <c r="G611" s="10">
        <v>76195840</v>
      </c>
      <c r="H611" s="1">
        <v>26</v>
      </c>
      <c r="I611" s="1">
        <v>34</v>
      </c>
      <c r="J611" s="5">
        <v>26.1</v>
      </c>
      <c r="K611" s="1" t="s">
        <v>19</v>
      </c>
      <c r="L611" s="1" t="s">
        <v>19</v>
      </c>
      <c r="M611" s="10">
        <f t="shared" si="81"/>
        <v>2919380.8429118772</v>
      </c>
      <c r="N611" s="10">
        <f t="shared" si="82"/>
        <v>2930609.230769231</v>
      </c>
      <c r="O611" s="1">
        <f t="shared" si="83"/>
        <v>10</v>
      </c>
      <c r="P611" s="1">
        <f t="shared" si="84"/>
        <v>20</v>
      </c>
      <c r="Q611" s="1">
        <f t="shared" si="85"/>
        <v>-10</v>
      </c>
      <c r="R611" s="6">
        <f t="shared" si="86"/>
        <v>0.43333333333333335</v>
      </c>
      <c r="S611" s="8">
        <f t="shared" si="87"/>
        <v>76.551582296596877</v>
      </c>
      <c r="T611" s="8">
        <f t="shared" si="88"/>
        <v>-50.551582296596877</v>
      </c>
      <c r="U611" t="str">
        <f t="shared" si="89"/>
        <v>Low</v>
      </c>
    </row>
    <row r="612" spans="1:21">
      <c r="A612" s="1">
        <v>723</v>
      </c>
      <c r="B612" s="2">
        <v>2020</v>
      </c>
      <c r="C612" s="1" t="s">
        <v>79</v>
      </c>
      <c r="D612" s="1" t="s">
        <v>80</v>
      </c>
      <c r="E612" s="1" t="s">
        <v>26</v>
      </c>
      <c r="F612" s="1" t="s">
        <v>46</v>
      </c>
      <c r="G612" s="10">
        <v>75194495</v>
      </c>
      <c r="H612" s="1">
        <v>22</v>
      </c>
      <c r="I612" s="1">
        <v>38</v>
      </c>
      <c r="J612" s="5">
        <v>15.7</v>
      </c>
      <c r="K612" s="1" t="s">
        <v>19</v>
      </c>
      <c r="L612" s="1" t="s">
        <v>19</v>
      </c>
      <c r="M612" s="10">
        <f t="shared" si="81"/>
        <v>4789458.2802547775</v>
      </c>
      <c r="N612" s="10">
        <f t="shared" si="82"/>
        <v>3417931.5909090908</v>
      </c>
      <c r="O612" s="1">
        <f t="shared" si="83"/>
        <v>11</v>
      </c>
      <c r="P612" s="1">
        <f t="shared" si="84"/>
        <v>29</v>
      </c>
      <c r="Q612" s="1">
        <f t="shared" si="85"/>
        <v>-18</v>
      </c>
      <c r="R612" s="6">
        <f t="shared" si="86"/>
        <v>0.36666666666666664</v>
      </c>
      <c r="S612" s="8">
        <f t="shared" si="87"/>
        <v>76.464159806047917</v>
      </c>
      <c r="T612" s="8">
        <f t="shared" si="88"/>
        <v>-54.464159806047917</v>
      </c>
      <c r="U612" t="str">
        <f t="shared" si="89"/>
        <v>Low</v>
      </c>
    </row>
    <row r="613" spans="1:21">
      <c r="A613" s="1">
        <v>333</v>
      </c>
      <c r="B613" s="2">
        <v>2020</v>
      </c>
      <c r="C613" s="1" t="s">
        <v>49</v>
      </c>
      <c r="D613" s="1" t="s">
        <v>50</v>
      </c>
      <c r="E613" s="1" t="s">
        <v>26</v>
      </c>
      <c r="F613" s="1" t="s">
        <v>46</v>
      </c>
      <c r="G613" s="10">
        <v>69858103</v>
      </c>
      <c r="H613" s="1">
        <v>26</v>
      </c>
      <c r="I613" s="1">
        <v>34</v>
      </c>
      <c r="J613" s="5">
        <v>28.4</v>
      </c>
      <c r="K613" s="1" t="s">
        <v>19</v>
      </c>
      <c r="L613" s="1" t="s">
        <v>19</v>
      </c>
      <c r="M613" s="10">
        <f t="shared" si="81"/>
        <v>2459792.3591549299</v>
      </c>
      <c r="N613" s="10">
        <f t="shared" si="82"/>
        <v>2686850.1153846155</v>
      </c>
      <c r="O613" s="1">
        <f t="shared" si="83"/>
        <v>12</v>
      </c>
      <c r="P613" s="1">
        <f t="shared" si="84"/>
        <v>20</v>
      </c>
      <c r="Q613" s="1">
        <f t="shared" si="85"/>
        <v>-8</v>
      </c>
      <c r="R613" s="6">
        <f t="shared" si="86"/>
        <v>0.43333333333333335</v>
      </c>
      <c r="S613" s="8">
        <f t="shared" si="87"/>
        <v>75.998265754361952</v>
      </c>
      <c r="T613" s="8">
        <f t="shared" si="88"/>
        <v>-49.998265754361952</v>
      </c>
      <c r="U613" t="str">
        <f t="shared" si="89"/>
        <v>Low</v>
      </c>
    </row>
    <row r="614" spans="1:21">
      <c r="A614" s="1">
        <v>671</v>
      </c>
      <c r="B614" s="2">
        <v>2020</v>
      </c>
      <c r="C614" s="1" t="s">
        <v>75</v>
      </c>
      <c r="D614" s="1" t="s">
        <v>76</v>
      </c>
      <c r="E614" s="1" t="s">
        <v>17</v>
      </c>
      <c r="F614" s="1" t="s">
        <v>32</v>
      </c>
      <c r="G614" s="10">
        <v>69331172</v>
      </c>
      <c r="H614" s="1">
        <v>30</v>
      </c>
      <c r="I614" s="1">
        <v>28</v>
      </c>
      <c r="J614" s="5">
        <v>36.6</v>
      </c>
      <c r="K614" s="1" t="s">
        <v>20</v>
      </c>
      <c r="L614" s="1" t="s">
        <v>19</v>
      </c>
      <c r="M614" s="10">
        <f t="shared" si="81"/>
        <v>1894294.3169398906</v>
      </c>
      <c r="N614" s="10">
        <f t="shared" si="82"/>
        <v>2311039.0666666669</v>
      </c>
      <c r="O614" s="1">
        <f t="shared" si="83"/>
        <v>13</v>
      </c>
      <c r="P614" s="1">
        <f t="shared" si="84"/>
        <v>14</v>
      </c>
      <c r="Q614" s="1">
        <f t="shared" si="85"/>
        <v>-1</v>
      </c>
      <c r="R614" s="6">
        <f t="shared" si="86"/>
        <v>0.51724137931034486</v>
      </c>
      <c r="S614" s="8">
        <f t="shared" si="87"/>
        <v>75.952262009031983</v>
      </c>
      <c r="T614" s="8">
        <f t="shared" si="88"/>
        <v>-45.952262009031983</v>
      </c>
      <c r="U614" t="str">
        <f t="shared" si="89"/>
        <v>Low</v>
      </c>
    </row>
    <row r="615" spans="1:21">
      <c r="A615" s="1">
        <v>619</v>
      </c>
      <c r="B615" s="2">
        <v>2020</v>
      </c>
      <c r="C615" s="1" t="s">
        <v>71</v>
      </c>
      <c r="D615" s="1" t="s">
        <v>72</v>
      </c>
      <c r="E615" s="1" t="s">
        <v>17</v>
      </c>
      <c r="F615" s="1" t="s">
        <v>18</v>
      </c>
      <c r="G615" s="10">
        <v>66710217</v>
      </c>
      <c r="H615" s="1">
        <v>29</v>
      </c>
      <c r="I615" s="1">
        <v>31</v>
      </c>
      <c r="J615" s="5">
        <v>34.200000000000003</v>
      </c>
      <c r="K615" s="1" t="s">
        <v>19</v>
      </c>
      <c r="L615" s="1" t="s">
        <v>19</v>
      </c>
      <c r="M615" s="10">
        <f t="shared" si="81"/>
        <v>1950591.1403508771</v>
      </c>
      <c r="N615" s="10">
        <f t="shared" si="82"/>
        <v>2300352.3103448274</v>
      </c>
      <c r="O615" s="1">
        <f t="shared" si="83"/>
        <v>14</v>
      </c>
      <c r="P615" s="1">
        <f t="shared" si="84"/>
        <v>15</v>
      </c>
      <c r="Q615" s="1">
        <f t="shared" si="85"/>
        <v>-1</v>
      </c>
      <c r="R615" s="6">
        <f t="shared" si="86"/>
        <v>0.48333333333333334</v>
      </c>
      <c r="S615" s="8">
        <f t="shared" si="87"/>
        <v>75.723439361775817</v>
      </c>
      <c r="T615" s="8">
        <f t="shared" si="88"/>
        <v>-46.723439361775817</v>
      </c>
      <c r="U615" t="str">
        <f t="shared" si="89"/>
        <v>Low</v>
      </c>
    </row>
    <row r="616" spans="1:21">
      <c r="A616" s="1">
        <v>541</v>
      </c>
      <c r="B616" s="2">
        <v>2020</v>
      </c>
      <c r="C616" s="1" t="s">
        <v>65</v>
      </c>
      <c r="D616" s="1" t="s">
        <v>66</v>
      </c>
      <c r="E616" s="1" t="s">
        <v>17</v>
      </c>
      <c r="F616" s="1" t="s">
        <v>23</v>
      </c>
      <c r="G616" s="10">
        <v>65073877</v>
      </c>
      <c r="H616" s="1">
        <v>28</v>
      </c>
      <c r="I616" s="1">
        <v>32</v>
      </c>
      <c r="J616" s="5">
        <v>26.4</v>
      </c>
      <c r="K616" s="1" t="s">
        <v>19</v>
      </c>
      <c r="L616" s="1" t="s">
        <v>19</v>
      </c>
      <c r="M616" s="10">
        <f t="shared" si="81"/>
        <v>2464919.5833333335</v>
      </c>
      <c r="N616" s="10">
        <f t="shared" si="82"/>
        <v>2324067.0357142859</v>
      </c>
      <c r="O616" s="1">
        <f t="shared" si="83"/>
        <v>15</v>
      </c>
      <c r="P616" s="1">
        <f t="shared" si="84"/>
        <v>18</v>
      </c>
      <c r="Q616" s="1">
        <f t="shared" si="85"/>
        <v>-3</v>
      </c>
      <c r="R616" s="6">
        <f t="shared" si="86"/>
        <v>0.46666666666666667</v>
      </c>
      <c r="S616" s="8">
        <f t="shared" si="87"/>
        <v>75.580578591327196</v>
      </c>
      <c r="T616" s="8">
        <f t="shared" si="88"/>
        <v>-47.580578591327196</v>
      </c>
      <c r="U616" t="str">
        <f t="shared" si="89"/>
        <v>Low</v>
      </c>
    </row>
    <row r="617" spans="1:21">
      <c r="A617" s="1">
        <v>99</v>
      </c>
      <c r="B617" s="2">
        <v>2020</v>
      </c>
      <c r="C617" s="1" t="s">
        <v>28</v>
      </c>
      <c r="D617" s="1" t="s">
        <v>29</v>
      </c>
      <c r="E617" s="1" t="s">
        <v>26</v>
      </c>
      <c r="F617" s="1" t="s">
        <v>27</v>
      </c>
      <c r="G617" s="10">
        <v>64338341</v>
      </c>
      <c r="H617" s="1">
        <v>24</v>
      </c>
      <c r="I617" s="1">
        <v>36</v>
      </c>
      <c r="J617" s="5">
        <v>15.1</v>
      </c>
      <c r="K617" s="1" t="s">
        <v>19</v>
      </c>
      <c r="L617" s="1" t="s">
        <v>19</v>
      </c>
      <c r="M617" s="10">
        <f t="shared" si="81"/>
        <v>4260817.2847682117</v>
      </c>
      <c r="N617" s="10">
        <f t="shared" si="82"/>
        <v>2680764.2083333335</v>
      </c>
      <c r="O617" s="1">
        <f t="shared" si="83"/>
        <v>16</v>
      </c>
      <c r="P617" s="1">
        <f t="shared" si="84"/>
        <v>27</v>
      </c>
      <c r="Q617" s="1">
        <f t="shared" si="85"/>
        <v>-11</v>
      </c>
      <c r="R617" s="6">
        <f t="shared" si="86"/>
        <v>0.4</v>
      </c>
      <c r="S617" s="8">
        <f t="shared" si="87"/>
        <v>75.516362572863628</v>
      </c>
      <c r="T617" s="8">
        <f t="shared" si="88"/>
        <v>-51.516362572863628</v>
      </c>
      <c r="U617" t="str">
        <f t="shared" si="89"/>
        <v>Low</v>
      </c>
    </row>
    <row r="618" spans="1:21">
      <c r="A618" s="1">
        <v>177</v>
      </c>
      <c r="B618" s="2">
        <v>2020</v>
      </c>
      <c r="C618" s="1" t="s">
        <v>36</v>
      </c>
      <c r="D618" s="1" t="s">
        <v>37</v>
      </c>
      <c r="E618" s="1" t="s">
        <v>17</v>
      </c>
      <c r="F618" s="1" t="s">
        <v>32</v>
      </c>
      <c r="G618" s="10">
        <v>57693627</v>
      </c>
      <c r="H618" s="1">
        <v>31</v>
      </c>
      <c r="I618" s="1">
        <v>29</v>
      </c>
      <c r="J618" s="5">
        <v>37.5</v>
      </c>
      <c r="K618" s="1" t="s">
        <v>20</v>
      </c>
      <c r="L618" s="1" t="s">
        <v>19</v>
      </c>
      <c r="M618" s="10">
        <f t="shared" si="81"/>
        <v>1538496.72</v>
      </c>
      <c r="N618" s="10">
        <f t="shared" si="82"/>
        <v>1861084.7419354839</v>
      </c>
      <c r="O618" s="1">
        <f t="shared" si="83"/>
        <v>17</v>
      </c>
      <c r="P618" s="1">
        <f t="shared" si="84"/>
        <v>12</v>
      </c>
      <c r="Q618" s="1">
        <f t="shared" si="85"/>
        <v>5</v>
      </c>
      <c r="R618" s="6">
        <f t="shared" si="86"/>
        <v>0.51666666666666672</v>
      </c>
      <c r="S618" s="8">
        <f t="shared" si="87"/>
        <v>74.936245383617688</v>
      </c>
      <c r="T618" s="8">
        <f t="shared" si="88"/>
        <v>-43.936245383617688</v>
      </c>
      <c r="U618" t="str">
        <f t="shared" si="89"/>
        <v>Low</v>
      </c>
    </row>
    <row r="619" spans="1:21">
      <c r="A619" s="1">
        <v>229</v>
      </c>
      <c r="B619" s="2">
        <v>2020</v>
      </c>
      <c r="C619" s="1" t="s">
        <v>40</v>
      </c>
      <c r="D619" s="1" t="s">
        <v>41</v>
      </c>
      <c r="E619" s="1" t="s">
        <v>17</v>
      </c>
      <c r="F619" s="1" t="s">
        <v>18</v>
      </c>
      <c r="G619" s="10">
        <v>57342920</v>
      </c>
      <c r="H619" s="1">
        <v>26</v>
      </c>
      <c r="I619" s="1">
        <v>34</v>
      </c>
      <c r="J619" s="5">
        <v>18.600000000000001</v>
      </c>
      <c r="K619" s="1" t="s">
        <v>19</v>
      </c>
      <c r="L619" s="1" t="s">
        <v>19</v>
      </c>
      <c r="M619" s="10">
        <f t="shared" si="81"/>
        <v>3082952.6881720428</v>
      </c>
      <c r="N619" s="10">
        <f t="shared" si="82"/>
        <v>2205496.923076923</v>
      </c>
      <c r="O619" s="1">
        <f t="shared" si="83"/>
        <v>18</v>
      </c>
      <c r="P619" s="1">
        <f t="shared" si="84"/>
        <v>20</v>
      </c>
      <c r="Q619" s="1">
        <f t="shared" si="85"/>
        <v>-2</v>
      </c>
      <c r="R619" s="6">
        <f t="shared" si="86"/>
        <v>0.43333333333333335</v>
      </c>
      <c r="S619" s="8">
        <f t="shared" si="87"/>
        <v>74.905626886103903</v>
      </c>
      <c r="T619" s="8">
        <f t="shared" si="88"/>
        <v>-48.905626886103903</v>
      </c>
      <c r="U619" t="str">
        <f t="shared" si="89"/>
        <v>Low</v>
      </c>
    </row>
    <row r="620" spans="1:21">
      <c r="A620" s="1">
        <v>645</v>
      </c>
      <c r="B620" s="2">
        <v>2020</v>
      </c>
      <c r="C620" s="1" t="s">
        <v>73</v>
      </c>
      <c r="D620" s="1" t="s">
        <v>74</v>
      </c>
      <c r="E620" s="1" t="s">
        <v>26</v>
      </c>
      <c r="F620" s="1" t="s">
        <v>46</v>
      </c>
      <c r="G620" s="10">
        <v>55213899</v>
      </c>
      <c r="H620" s="1">
        <v>27</v>
      </c>
      <c r="I620" s="1">
        <v>33</v>
      </c>
      <c r="J620" s="5">
        <v>24.5</v>
      </c>
      <c r="K620" s="1" t="s">
        <v>19</v>
      </c>
      <c r="L620" s="1" t="s">
        <v>19</v>
      </c>
      <c r="M620" s="10">
        <f t="shared" si="81"/>
        <v>2253628.5306122447</v>
      </c>
      <c r="N620" s="10">
        <f t="shared" si="82"/>
        <v>2044959.2222222222</v>
      </c>
      <c r="O620" s="1">
        <f t="shared" si="83"/>
        <v>19</v>
      </c>
      <c r="P620" s="1">
        <f t="shared" si="84"/>
        <v>19</v>
      </c>
      <c r="Q620" s="1">
        <f t="shared" si="85"/>
        <v>0</v>
      </c>
      <c r="R620" s="6">
        <f t="shared" si="86"/>
        <v>0.45</v>
      </c>
      <c r="S620" s="8">
        <f t="shared" si="87"/>
        <v>74.719752568809653</v>
      </c>
      <c r="T620" s="8">
        <f t="shared" si="88"/>
        <v>-47.719752568809653</v>
      </c>
      <c r="U620" t="str">
        <f t="shared" si="89"/>
        <v>Low</v>
      </c>
    </row>
    <row r="621" spans="1:21">
      <c r="A621" s="1">
        <v>749</v>
      </c>
      <c r="B621" s="2">
        <v>2020</v>
      </c>
      <c r="C621" s="1" t="s">
        <v>81</v>
      </c>
      <c r="D621" s="1" t="s">
        <v>82</v>
      </c>
      <c r="E621" s="1" t="s">
        <v>26</v>
      </c>
      <c r="F621" s="1" t="s">
        <v>27</v>
      </c>
      <c r="G621" s="10">
        <v>54610530</v>
      </c>
      <c r="H621" s="1">
        <v>32</v>
      </c>
      <c r="I621" s="1">
        <v>28</v>
      </c>
      <c r="J621" s="5">
        <v>35.200000000000003</v>
      </c>
      <c r="K621" s="1" t="s">
        <v>20</v>
      </c>
      <c r="L621" s="1" t="s">
        <v>19</v>
      </c>
      <c r="M621" s="10">
        <f t="shared" si="81"/>
        <v>1551435.5113636362</v>
      </c>
      <c r="N621" s="10">
        <f t="shared" si="82"/>
        <v>1706579.0625</v>
      </c>
      <c r="O621" s="1">
        <f t="shared" si="83"/>
        <v>20</v>
      </c>
      <c r="P621" s="1">
        <f t="shared" si="84"/>
        <v>11</v>
      </c>
      <c r="Q621" s="1">
        <f t="shared" si="85"/>
        <v>9</v>
      </c>
      <c r="R621" s="6">
        <f t="shared" si="86"/>
        <v>0.53333333333333333</v>
      </c>
      <c r="S621" s="8">
        <f t="shared" si="87"/>
        <v>74.667075398903137</v>
      </c>
      <c r="T621" s="8">
        <f t="shared" si="88"/>
        <v>-42.667075398903137</v>
      </c>
      <c r="U621" t="str">
        <f t="shared" si="89"/>
        <v>Low</v>
      </c>
    </row>
    <row r="622" spans="1:21">
      <c r="A622" s="1">
        <v>437</v>
      </c>
      <c r="B622" s="2">
        <v>2020</v>
      </c>
      <c r="C622" s="1" t="s">
        <v>57</v>
      </c>
      <c r="D622" s="1" t="s">
        <v>58</v>
      </c>
      <c r="E622" s="1" t="s">
        <v>26</v>
      </c>
      <c r="F622" s="1" t="s">
        <v>35</v>
      </c>
      <c r="G622" s="10">
        <v>52627942</v>
      </c>
      <c r="H622" s="1">
        <v>36</v>
      </c>
      <c r="I622" s="1">
        <v>24</v>
      </c>
      <c r="J622" s="5">
        <v>48.7</v>
      </c>
      <c r="K622" s="1" t="s">
        <v>20</v>
      </c>
      <c r="L622" s="1" t="s">
        <v>19</v>
      </c>
      <c r="M622" s="10">
        <f t="shared" si="81"/>
        <v>1080655.8932238193</v>
      </c>
      <c r="N622" s="10">
        <f t="shared" si="82"/>
        <v>1461887.2777777778</v>
      </c>
      <c r="O622" s="1">
        <f t="shared" si="83"/>
        <v>21</v>
      </c>
      <c r="P622" s="1">
        <f t="shared" si="84"/>
        <v>4</v>
      </c>
      <c r="Q622" s="1">
        <f t="shared" si="85"/>
        <v>17</v>
      </c>
      <c r="R622" s="6">
        <f t="shared" si="86"/>
        <v>0.6</v>
      </c>
      <c r="S622" s="8">
        <f t="shared" si="87"/>
        <v>74.493985424226622</v>
      </c>
      <c r="T622" s="8">
        <f t="shared" si="88"/>
        <v>-38.493985424226622</v>
      </c>
      <c r="U622" t="str">
        <f t="shared" si="89"/>
        <v>Low</v>
      </c>
    </row>
    <row r="623" spans="1:21">
      <c r="A623" s="1">
        <v>151</v>
      </c>
      <c r="B623" s="2">
        <v>2020</v>
      </c>
      <c r="C623" s="1" t="s">
        <v>33</v>
      </c>
      <c r="D623" s="1" t="s">
        <v>34</v>
      </c>
      <c r="E623" s="1" t="s">
        <v>26</v>
      </c>
      <c r="F623" s="1" t="s">
        <v>35</v>
      </c>
      <c r="G623" s="10">
        <v>52591640</v>
      </c>
      <c r="H623" s="1">
        <v>35</v>
      </c>
      <c r="I623" s="1">
        <v>25</v>
      </c>
      <c r="J623" s="5">
        <v>51.8</v>
      </c>
      <c r="K623" s="1" t="s">
        <v>20</v>
      </c>
      <c r="L623" s="1" t="s">
        <v>19</v>
      </c>
      <c r="M623" s="10">
        <f t="shared" si="81"/>
        <v>1015282.6254826256</v>
      </c>
      <c r="N623" s="10">
        <f t="shared" si="82"/>
        <v>1502618.2857142857</v>
      </c>
      <c r="O623" s="1">
        <f t="shared" si="83"/>
        <v>22</v>
      </c>
      <c r="P623" s="1">
        <f t="shared" si="84"/>
        <v>6</v>
      </c>
      <c r="Q623" s="1">
        <f t="shared" si="85"/>
        <v>16</v>
      </c>
      <c r="R623" s="6">
        <f t="shared" si="86"/>
        <v>0.58333333333333337</v>
      </c>
      <c r="S623" s="8">
        <f t="shared" si="87"/>
        <v>74.490816075748427</v>
      </c>
      <c r="T623" s="8">
        <f t="shared" si="88"/>
        <v>-39.490816075748427</v>
      </c>
      <c r="U623" t="str">
        <f t="shared" si="89"/>
        <v>Low</v>
      </c>
    </row>
    <row r="624" spans="1:21">
      <c r="A624" s="1">
        <v>385</v>
      </c>
      <c r="B624" s="2">
        <v>2020</v>
      </c>
      <c r="C624" s="1" t="s">
        <v>53</v>
      </c>
      <c r="D624" s="1" t="s">
        <v>54</v>
      </c>
      <c r="E624" s="1" t="s">
        <v>17</v>
      </c>
      <c r="F624" s="1" t="s">
        <v>23</v>
      </c>
      <c r="G624" s="10">
        <v>46304592</v>
      </c>
      <c r="H624" s="1">
        <v>31</v>
      </c>
      <c r="I624" s="1">
        <v>29</v>
      </c>
      <c r="J624" s="5">
        <v>31.7</v>
      </c>
      <c r="K624" s="1" t="s">
        <v>20</v>
      </c>
      <c r="L624" s="1" t="s">
        <v>19</v>
      </c>
      <c r="M624" s="10">
        <f t="shared" si="81"/>
        <v>1460712.6813880126</v>
      </c>
      <c r="N624" s="10">
        <f t="shared" si="82"/>
        <v>1493696.5161290322</v>
      </c>
      <c r="O624" s="1">
        <f t="shared" si="83"/>
        <v>23</v>
      </c>
      <c r="P624" s="1">
        <f t="shared" si="84"/>
        <v>12</v>
      </c>
      <c r="Q624" s="1">
        <f t="shared" si="85"/>
        <v>11</v>
      </c>
      <c r="R624" s="6">
        <f t="shared" si="86"/>
        <v>0.51666666666666672</v>
      </c>
      <c r="S624" s="8">
        <f t="shared" si="87"/>
        <v>73.941924939965261</v>
      </c>
      <c r="T624" s="8">
        <f t="shared" si="88"/>
        <v>-42.941924939965261</v>
      </c>
      <c r="U624" t="str">
        <f t="shared" si="89"/>
        <v>Low</v>
      </c>
    </row>
    <row r="625" spans="1:21">
      <c r="A625" s="1">
        <v>255</v>
      </c>
      <c r="B625" s="2">
        <v>2020</v>
      </c>
      <c r="C625" s="1" t="s">
        <v>42</v>
      </c>
      <c r="D625" s="1" t="s">
        <v>43</v>
      </c>
      <c r="E625" s="1" t="s">
        <v>26</v>
      </c>
      <c r="F625" s="1" t="s">
        <v>35</v>
      </c>
      <c r="G625" s="10">
        <v>44920345</v>
      </c>
      <c r="H625" s="1">
        <v>23</v>
      </c>
      <c r="I625" s="1">
        <v>35</v>
      </c>
      <c r="J625" s="5">
        <v>13.8</v>
      </c>
      <c r="K625" s="1" t="s">
        <v>19</v>
      </c>
      <c r="L625" s="1" t="s">
        <v>19</v>
      </c>
      <c r="M625" s="10">
        <f t="shared" si="81"/>
        <v>3255097.4637681157</v>
      </c>
      <c r="N625" s="10">
        <f t="shared" si="82"/>
        <v>1953058.4782608696</v>
      </c>
      <c r="O625" s="1">
        <f t="shared" si="83"/>
        <v>24</v>
      </c>
      <c r="P625" s="1">
        <f t="shared" si="84"/>
        <v>28</v>
      </c>
      <c r="Q625" s="1">
        <f t="shared" si="85"/>
        <v>-4</v>
      </c>
      <c r="R625" s="6">
        <f t="shared" si="86"/>
        <v>0.39655172413793105</v>
      </c>
      <c r="S625" s="8">
        <f t="shared" si="87"/>
        <v>73.821073165327235</v>
      </c>
      <c r="T625" s="8">
        <f t="shared" si="88"/>
        <v>-50.821073165327235</v>
      </c>
      <c r="U625" t="str">
        <f t="shared" si="89"/>
        <v>Low</v>
      </c>
    </row>
    <row r="626" spans="1:21">
      <c r="A626" s="1">
        <v>411</v>
      </c>
      <c r="B626" s="2">
        <v>2020</v>
      </c>
      <c r="C626" s="1" t="s">
        <v>55</v>
      </c>
      <c r="D626" s="1" t="s">
        <v>56</v>
      </c>
      <c r="E626" s="1" t="s">
        <v>17</v>
      </c>
      <c r="F626" s="1" t="s">
        <v>32</v>
      </c>
      <c r="G626" s="10">
        <v>41514490</v>
      </c>
      <c r="H626" s="1">
        <v>29</v>
      </c>
      <c r="I626" s="1">
        <v>31</v>
      </c>
      <c r="J626" s="5">
        <v>31.3</v>
      </c>
      <c r="K626" s="1" t="s">
        <v>20</v>
      </c>
      <c r="L626" s="1" t="s">
        <v>19</v>
      </c>
      <c r="M626" s="10">
        <f t="shared" si="81"/>
        <v>1326341.5335463258</v>
      </c>
      <c r="N626" s="10">
        <f t="shared" si="82"/>
        <v>1431534.1379310344</v>
      </c>
      <c r="O626" s="1">
        <f t="shared" si="83"/>
        <v>25</v>
      </c>
      <c r="P626" s="1">
        <f t="shared" si="84"/>
        <v>15</v>
      </c>
      <c r="Q626" s="1">
        <f t="shared" si="85"/>
        <v>10</v>
      </c>
      <c r="R626" s="6">
        <f t="shared" si="86"/>
        <v>0.48333333333333334</v>
      </c>
      <c r="S626" s="8">
        <f t="shared" si="87"/>
        <v>73.523724772367189</v>
      </c>
      <c r="T626" s="8">
        <f t="shared" si="88"/>
        <v>-44.523724772367189</v>
      </c>
      <c r="U626" t="str">
        <f t="shared" si="89"/>
        <v>Low</v>
      </c>
    </row>
    <row r="627" spans="1:21">
      <c r="A627" s="1">
        <v>307</v>
      </c>
      <c r="B627" s="2">
        <v>2020</v>
      </c>
      <c r="C627" s="1" t="s">
        <v>47</v>
      </c>
      <c r="D627" s="1" t="s">
        <v>48</v>
      </c>
      <c r="E627" s="1" t="s">
        <v>26</v>
      </c>
      <c r="F627" s="1" t="s">
        <v>35</v>
      </c>
      <c r="G627" s="10">
        <v>39188531</v>
      </c>
      <c r="H627" s="1">
        <v>26</v>
      </c>
      <c r="I627" s="1">
        <v>34</v>
      </c>
      <c r="J627" s="5">
        <v>25.2</v>
      </c>
      <c r="K627" s="1" t="s">
        <v>19</v>
      </c>
      <c r="L627" s="1" t="s">
        <v>19</v>
      </c>
      <c r="M627" s="10">
        <f t="shared" si="81"/>
        <v>1555100.4365079366</v>
      </c>
      <c r="N627" s="10">
        <f t="shared" si="82"/>
        <v>1507251.1923076923</v>
      </c>
      <c r="O627" s="1">
        <f t="shared" si="83"/>
        <v>26</v>
      </c>
      <c r="P627" s="1">
        <f t="shared" si="84"/>
        <v>20</v>
      </c>
      <c r="Q627" s="1">
        <f t="shared" si="85"/>
        <v>6</v>
      </c>
      <c r="R627" s="6">
        <f t="shared" si="86"/>
        <v>0.43333333333333335</v>
      </c>
      <c r="S627" s="8">
        <f t="shared" si="87"/>
        <v>73.320656770135443</v>
      </c>
      <c r="T627" s="8">
        <f t="shared" si="88"/>
        <v>-47.320656770135443</v>
      </c>
      <c r="U627" t="str">
        <f t="shared" si="89"/>
        <v>Low</v>
      </c>
    </row>
    <row r="628" spans="1:21">
      <c r="A628" s="1">
        <v>515</v>
      </c>
      <c r="B628" s="2">
        <v>2020</v>
      </c>
      <c r="C628" s="1" t="s">
        <v>63</v>
      </c>
      <c r="D628" s="1" t="s">
        <v>64</v>
      </c>
      <c r="E628" s="1" t="s">
        <v>26</v>
      </c>
      <c r="F628" s="1" t="s">
        <v>46</v>
      </c>
      <c r="G628" s="10">
        <v>37304214</v>
      </c>
      <c r="H628" s="1">
        <v>36</v>
      </c>
      <c r="I628" s="1">
        <v>24</v>
      </c>
      <c r="J628" s="5">
        <v>48.2</v>
      </c>
      <c r="K628" s="1" t="s">
        <v>20</v>
      </c>
      <c r="L628" s="1" t="s">
        <v>19</v>
      </c>
      <c r="M628" s="10">
        <f t="shared" si="81"/>
        <v>773946.34854771779</v>
      </c>
      <c r="N628" s="10">
        <f t="shared" si="82"/>
        <v>1036228.1666666666</v>
      </c>
      <c r="O628" s="1">
        <f t="shared" si="83"/>
        <v>27</v>
      </c>
      <c r="P628" s="1">
        <f t="shared" si="84"/>
        <v>4</v>
      </c>
      <c r="Q628" s="1">
        <f t="shared" si="85"/>
        <v>23</v>
      </c>
      <c r="R628" s="6">
        <f t="shared" si="86"/>
        <v>0.6</v>
      </c>
      <c r="S628" s="8">
        <f t="shared" si="87"/>
        <v>73.156146351524754</v>
      </c>
      <c r="T628" s="8">
        <f t="shared" si="88"/>
        <v>-37.156146351524754</v>
      </c>
      <c r="U628" t="str">
        <f t="shared" si="89"/>
        <v>Low</v>
      </c>
    </row>
    <row r="629" spans="1:21">
      <c r="A629" s="1">
        <v>203</v>
      </c>
      <c r="B629" s="2">
        <v>2020</v>
      </c>
      <c r="C629" s="1" t="s">
        <v>38</v>
      </c>
      <c r="D629" s="1" t="s">
        <v>39</v>
      </c>
      <c r="E629" s="1" t="s">
        <v>26</v>
      </c>
      <c r="F629" s="1" t="s">
        <v>35</v>
      </c>
      <c r="G629" s="10">
        <v>36441612</v>
      </c>
      <c r="H629" s="1">
        <v>35</v>
      </c>
      <c r="I629" s="1">
        <v>25</v>
      </c>
      <c r="J629" s="5">
        <v>44.6</v>
      </c>
      <c r="K629" s="1" t="s">
        <v>20</v>
      </c>
      <c r="L629" s="1" t="s">
        <v>19</v>
      </c>
      <c r="M629" s="10">
        <f t="shared" si="81"/>
        <v>817076.50224215246</v>
      </c>
      <c r="N629" s="10">
        <f t="shared" si="82"/>
        <v>1041188.9142857143</v>
      </c>
      <c r="O629" s="1">
        <f t="shared" si="83"/>
        <v>28</v>
      </c>
      <c r="P629" s="1">
        <f t="shared" si="84"/>
        <v>6</v>
      </c>
      <c r="Q629" s="1">
        <f t="shared" si="85"/>
        <v>22</v>
      </c>
      <c r="R629" s="6">
        <f t="shared" si="86"/>
        <v>0.58333333333333337</v>
      </c>
      <c r="S629" s="8">
        <f t="shared" si="87"/>
        <v>73.080836827641875</v>
      </c>
      <c r="T629" s="8">
        <f t="shared" si="88"/>
        <v>-38.080836827641875</v>
      </c>
      <c r="U629" t="str">
        <f t="shared" si="89"/>
        <v>Low</v>
      </c>
    </row>
    <row r="630" spans="1:21">
      <c r="A630" s="1">
        <v>697</v>
      </c>
      <c r="B630" s="2">
        <v>2020</v>
      </c>
      <c r="C630" s="1" t="s">
        <v>77</v>
      </c>
      <c r="D630" s="1" t="s">
        <v>78</v>
      </c>
      <c r="E630" s="1" t="s">
        <v>26</v>
      </c>
      <c r="F630" s="1" t="s">
        <v>27</v>
      </c>
      <c r="G630" s="10">
        <v>29411350</v>
      </c>
      <c r="H630" s="1">
        <v>40</v>
      </c>
      <c r="I630" s="1">
        <v>20</v>
      </c>
      <c r="J630" s="5">
        <v>52.2</v>
      </c>
      <c r="K630" s="1" t="s">
        <v>20</v>
      </c>
      <c r="L630" s="1" t="s">
        <v>19</v>
      </c>
      <c r="M630" s="10">
        <f t="shared" si="81"/>
        <v>563435.82375478919</v>
      </c>
      <c r="N630" s="10">
        <f t="shared" si="82"/>
        <v>735283.75</v>
      </c>
      <c r="O630" s="1">
        <f t="shared" si="83"/>
        <v>29</v>
      </c>
      <c r="P630" s="1">
        <f t="shared" si="84"/>
        <v>2</v>
      </c>
      <c r="Q630" s="1">
        <f t="shared" si="85"/>
        <v>27</v>
      </c>
      <c r="R630" s="6">
        <f t="shared" si="86"/>
        <v>0.66666666666666663</v>
      </c>
      <c r="S630" s="8">
        <f t="shared" si="87"/>
        <v>72.467059345104246</v>
      </c>
      <c r="T630" s="8">
        <f t="shared" si="88"/>
        <v>-32.467059345104246</v>
      </c>
      <c r="U630" t="str">
        <f t="shared" si="89"/>
        <v>Low</v>
      </c>
    </row>
    <row r="631" spans="1:21">
      <c r="A631" s="1">
        <v>567</v>
      </c>
      <c r="B631" s="2">
        <v>2020</v>
      </c>
      <c r="C631" s="1" t="s">
        <v>67</v>
      </c>
      <c r="D631" s="1" t="s">
        <v>68</v>
      </c>
      <c r="E631" s="1" t="s">
        <v>17</v>
      </c>
      <c r="F631" s="1" t="s">
        <v>32</v>
      </c>
      <c r="G631" s="10">
        <v>24056794</v>
      </c>
      <c r="H631" s="1">
        <v>19</v>
      </c>
      <c r="I631" s="1">
        <v>41</v>
      </c>
      <c r="J631" s="5">
        <v>10.199999999999999</v>
      </c>
      <c r="K631" s="1" t="s">
        <v>19</v>
      </c>
      <c r="L631" s="1" t="s">
        <v>19</v>
      </c>
      <c r="M631" s="10">
        <f t="shared" si="81"/>
        <v>2358509.2156862747</v>
      </c>
      <c r="N631" s="10">
        <f t="shared" si="82"/>
        <v>1266147.0526315789</v>
      </c>
      <c r="O631" s="1">
        <f t="shared" si="83"/>
        <v>30</v>
      </c>
      <c r="P631" s="1">
        <f t="shared" si="84"/>
        <v>30</v>
      </c>
      <c r="Q631" s="1">
        <f t="shared" si="85"/>
        <v>0</v>
      </c>
      <c r="R631" s="6">
        <f t="shared" si="86"/>
        <v>0.31666666666666665</v>
      </c>
      <c r="S631" s="8">
        <f t="shared" si="87"/>
        <v>71.999579484213328</v>
      </c>
      <c r="T631" s="8">
        <f t="shared" si="88"/>
        <v>-52.999579484213328</v>
      </c>
      <c r="U631" t="str">
        <f t="shared" si="89"/>
        <v>Low</v>
      </c>
    </row>
    <row r="632" spans="1:21">
      <c r="A632" s="1">
        <v>360</v>
      </c>
      <c r="B632" s="2">
        <v>2021</v>
      </c>
      <c r="C632" s="1" t="s">
        <v>51</v>
      </c>
      <c r="D632" s="1" t="s">
        <v>52</v>
      </c>
      <c r="E632" s="1" t="s">
        <v>17</v>
      </c>
      <c r="F632" s="1" t="s">
        <v>18</v>
      </c>
      <c r="G632" s="10">
        <v>241372403</v>
      </c>
      <c r="H632" s="1">
        <v>106</v>
      </c>
      <c r="I632" s="1">
        <v>56</v>
      </c>
      <c r="J632" s="5">
        <v>50.3</v>
      </c>
      <c r="K632" s="1" t="s">
        <v>20</v>
      </c>
      <c r="L632" s="1" t="s">
        <v>19</v>
      </c>
      <c r="M632" s="10">
        <f t="shared" si="81"/>
        <v>4798656.1232604375</v>
      </c>
      <c r="N632" s="10">
        <f t="shared" si="82"/>
        <v>2277098.1415094337</v>
      </c>
      <c r="O632" s="1">
        <f t="shared" si="83"/>
        <v>1</v>
      </c>
      <c r="P632" s="1">
        <f t="shared" si="84"/>
        <v>2</v>
      </c>
      <c r="Q632" s="1">
        <f t="shared" si="85"/>
        <v>-1</v>
      </c>
      <c r="R632" s="6">
        <f t="shared" si="86"/>
        <v>0.65432098765432101</v>
      </c>
      <c r="S632" s="8">
        <f t="shared" si="87"/>
        <v>90.972332904804148</v>
      </c>
      <c r="T632" s="8">
        <f t="shared" si="88"/>
        <v>15.027667095195852</v>
      </c>
      <c r="U632" t="str">
        <f t="shared" si="89"/>
        <v>High</v>
      </c>
    </row>
    <row r="633" spans="1:21">
      <c r="A633" s="1">
        <v>490</v>
      </c>
      <c r="B633" s="2">
        <v>2021</v>
      </c>
      <c r="C633" s="1" t="s">
        <v>61</v>
      </c>
      <c r="D633" s="1" t="s">
        <v>62</v>
      </c>
      <c r="E633" s="1" t="s">
        <v>26</v>
      </c>
      <c r="F633" s="1" t="s">
        <v>27</v>
      </c>
      <c r="G633" s="10">
        <v>201074956</v>
      </c>
      <c r="H633" s="1">
        <v>92</v>
      </c>
      <c r="I633" s="1">
        <v>70</v>
      </c>
      <c r="J633" s="5">
        <v>37.9</v>
      </c>
      <c r="K633" s="1" t="s">
        <v>20</v>
      </c>
      <c r="L633" s="1" t="s">
        <v>19</v>
      </c>
      <c r="M633" s="10">
        <f t="shared" si="81"/>
        <v>5305407.8100263858</v>
      </c>
      <c r="N633" s="10">
        <f t="shared" si="82"/>
        <v>2185597.3478260869</v>
      </c>
      <c r="O633" s="1">
        <f t="shared" si="83"/>
        <v>2</v>
      </c>
      <c r="P633" s="1">
        <f t="shared" si="84"/>
        <v>7</v>
      </c>
      <c r="Q633" s="1">
        <f t="shared" si="85"/>
        <v>-5</v>
      </c>
      <c r="R633" s="6">
        <f t="shared" si="86"/>
        <v>0.5679012345679012</v>
      </c>
      <c r="S633" s="8">
        <f t="shared" si="87"/>
        <v>87.454161665616596</v>
      </c>
      <c r="T633" s="8">
        <f t="shared" si="88"/>
        <v>4.5458383343834043</v>
      </c>
      <c r="U633" t="str">
        <f t="shared" si="89"/>
        <v>High</v>
      </c>
    </row>
    <row r="634" spans="1:21">
      <c r="A634" s="1">
        <v>464</v>
      </c>
      <c r="B634" s="2">
        <v>2021</v>
      </c>
      <c r="C634" s="1" t="s">
        <v>59</v>
      </c>
      <c r="D634" s="1" t="s">
        <v>60</v>
      </c>
      <c r="E634" s="1" t="s">
        <v>17</v>
      </c>
      <c r="F634" s="1" t="s">
        <v>23</v>
      </c>
      <c r="G634" s="10">
        <v>186001814</v>
      </c>
      <c r="H634" s="1">
        <v>77</v>
      </c>
      <c r="I634" s="1">
        <v>85</v>
      </c>
      <c r="J634" s="5">
        <v>28.4</v>
      </c>
      <c r="K634" s="1" t="s">
        <v>19</v>
      </c>
      <c r="L634" s="1" t="s">
        <v>19</v>
      </c>
      <c r="M634" s="10">
        <f t="shared" si="81"/>
        <v>6549359.647887324</v>
      </c>
      <c r="N634" s="10">
        <f t="shared" si="82"/>
        <v>2415607.9740259741</v>
      </c>
      <c r="O634" s="1">
        <f t="shared" si="83"/>
        <v>3</v>
      </c>
      <c r="P634" s="1">
        <f t="shared" si="84"/>
        <v>18</v>
      </c>
      <c r="Q634" s="1">
        <f t="shared" si="85"/>
        <v>-15</v>
      </c>
      <c r="R634" s="6">
        <f t="shared" si="86"/>
        <v>0.47530864197530864</v>
      </c>
      <c r="S634" s="8">
        <f t="shared" si="87"/>
        <v>86.138200019991999</v>
      </c>
      <c r="T634" s="8">
        <f t="shared" si="88"/>
        <v>-9.1382000199919986</v>
      </c>
      <c r="U634" t="str">
        <f t="shared" si="89"/>
        <v>High</v>
      </c>
    </row>
    <row r="635" spans="1:21">
      <c r="A635" s="1">
        <v>334</v>
      </c>
      <c r="B635" s="2">
        <v>2021</v>
      </c>
      <c r="C635" s="1" t="s">
        <v>49</v>
      </c>
      <c r="D635" s="1" t="s">
        <v>50</v>
      </c>
      <c r="E635" s="1" t="s">
        <v>26</v>
      </c>
      <c r="F635" s="1" t="s">
        <v>46</v>
      </c>
      <c r="G635" s="10">
        <v>180609676</v>
      </c>
      <c r="H635" s="1">
        <v>77</v>
      </c>
      <c r="I635" s="1">
        <v>85</v>
      </c>
      <c r="J635" s="5">
        <v>31.3</v>
      </c>
      <c r="K635" s="1" t="s">
        <v>19</v>
      </c>
      <c r="L635" s="1" t="s">
        <v>19</v>
      </c>
      <c r="M635" s="10">
        <f t="shared" si="81"/>
        <v>5770277.188498402</v>
      </c>
      <c r="N635" s="10">
        <f t="shared" si="82"/>
        <v>2345580.2077922076</v>
      </c>
      <c r="O635" s="1">
        <f t="shared" si="83"/>
        <v>4</v>
      </c>
      <c r="P635" s="1">
        <f t="shared" si="84"/>
        <v>18</v>
      </c>
      <c r="Q635" s="1">
        <f t="shared" si="85"/>
        <v>-14</v>
      </c>
      <c r="R635" s="6">
        <f t="shared" si="86"/>
        <v>0.47530864197530864</v>
      </c>
      <c r="S635" s="8">
        <f t="shared" si="87"/>
        <v>85.667439060139372</v>
      </c>
      <c r="T635" s="8">
        <f t="shared" si="88"/>
        <v>-8.6674390601393725</v>
      </c>
      <c r="U635" t="str">
        <f t="shared" si="89"/>
        <v>High</v>
      </c>
    </row>
    <row r="636" spans="1:21">
      <c r="A636" s="1">
        <v>776</v>
      </c>
      <c r="B636" s="2">
        <v>2021</v>
      </c>
      <c r="C636" s="1" t="s">
        <v>83</v>
      </c>
      <c r="D636" s="1" t="s">
        <v>84</v>
      </c>
      <c r="E636" s="1" t="s">
        <v>17</v>
      </c>
      <c r="F636" s="1" t="s">
        <v>23</v>
      </c>
      <c r="G636" s="10">
        <v>179557685</v>
      </c>
      <c r="H636" s="1">
        <v>65</v>
      </c>
      <c r="I636" s="1">
        <v>97</v>
      </c>
      <c r="J636" s="5">
        <v>25.8</v>
      </c>
      <c r="K636" s="1" t="s">
        <v>19</v>
      </c>
      <c r="L636" s="1" t="s">
        <v>19</v>
      </c>
      <c r="M636" s="10">
        <f t="shared" si="81"/>
        <v>6959600.1937984498</v>
      </c>
      <c r="N636" s="10">
        <f t="shared" si="82"/>
        <v>2762425.923076923</v>
      </c>
      <c r="O636" s="1">
        <f t="shared" si="83"/>
        <v>5</v>
      </c>
      <c r="P636" s="1">
        <f t="shared" si="84"/>
        <v>26</v>
      </c>
      <c r="Q636" s="1">
        <f t="shared" si="85"/>
        <v>-21</v>
      </c>
      <c r="R636" s="6">
        <f t="shared" si="86"/>
        <v>0.40123456790123457</v>
      </c>
      <c r="S636" s="8">
        <f t="shared" si="87"/>
        <v>85.575594917256467</v>
      </c>
      <c r="T636" s="8">
        <f t="shared" si="88"/>
        <v>-20.575594917256467</v>
      </c>
      <c r="U636" t="str">
        <f t="shared" si="89"/>
        <v>High</v>
      </c>
    </row>
    <row r="637" spans="1:21">
      <c r="A637" s="1">
        <v>100</v>
      </c>
      <c r="B637" s="2">
        <v>2021</v>
      </c>
      <c r="C637" s="1" t="s">
        <v>28</v>
      </c>
      <c r="D637" s="1" t="s">
        <v>29</v>
      </c>
      <c r="E637" s="1" t="s">
        <v>26</v>
      </c>
      <c r="F637" s="1" t="s">
        <v>27</v>
      </c>
      <c r="G637" s="10">
        <v>179540260</v>
      </c>
      <c r="H637" s="1">
        <v>92</v>
      </c>
      <c r="I637" s="1">
        <v>70</v>
      </c>
      <c r="J637" s="5">
        <v>39.299999999999997</v>
      </c>
      <c r="K637" s="1" t="s">
        <v>20</v>
      </c>
      <c r="L637" s="1" t="s">
        <v>19</v>
      </c>
      <c r="M637" s="10">
        <f t="shared" si="81"/>
        <v>4568454.4529262092</v>
      </c>
      <c r="N637" s="10">
        <f t="shared" si="82"/>
        <v>1951524.5652173914</v>
      </c>
      <c r="O637" s="1">
        <f t="shared" si="83"/>
        <v>6</v>
      </c>
      <c r="P637" s="1">
        <f t="shared" si="84"/>
        <v>7</v>
      </c>
      <c r="Q637" s="1">
        <f t="shared" si="85"/>
        <v>-1</v>
      </c>
      <c r="R637" s="6">
        <f t="shared" si="86"/>
        <v>0.5679012345679012</v>
      </c>
      <c r="S637" s="8">
        <f t="shared" si="87"/>
        <v>85.574073626494737</v>
      </c>
      <c r="T637" s="8">
        <f t="shared" si="88"/>
        <v>6.4259263735052627</v>
      </c>
      <c r="U637" t="str">
        <f t="shared" si="89"/>
        <v>High</v>
      </c>
    </row>
    <row r="638" spans="1:21">
      <c r="A638" s="1">
        <v>282</v>
      </c>
      <c r="B638" s="2">
        <v>2021</v>
      </c>
      <c r="C638" s="1" t="s">
        <v>44</v>
      </c>
      <c r="D638" s="1" t="s">
        <v>45</v>
      </c>
      <c r="E638" s="1" t="s">
        <v>26</v>
      </c>
      <c r="F638" s="1" t="s">
        <v>46</v>
      </c>
      <c r="G638" s="10">
        <v>176495417</v>
      </c>
      <c r="H638" s="1">
        <v>95</v>
      </c>
      <c r="I638" s="1">
        <v>67</v>
      </c>
      <c r="J638" s="5">
        <v>46.1</v>
      </c>
      <c r="K638" s="1" t="s">
        <v>20</v>
      </c>
      <c r="L638" s="1" t="s">
        <v>19</v>
      </c>
      <c r="M638" s="10">
        <f t="shared" si="81"/>
        <v>3828533.9913232103</v>
      </c>
      <c r="N638" s="10">
        <f t="shared" si="82"/>
        <v>1857846.4947368421</v>
      </c>
      <c r="O638" s="1">
        <f t="shared" si="83"/>
        <v>7</v>
      </c>
      <c r="P638" s="1">
        <f t="shared" si="84"/>
        <v>4</v>
      </c>
      <c r="Q638" s="1">
        <f t="shared" si="85"/>
        <v>3</v>
      </c>
      <c r="R638" s="6">
        <f t="shared" si="86"/>
        <v>0.5864197530864198</v>
      </c>
      <c r="S638" s="8">
        <f t="shared" si="87"/>
        <v>85.308243409745728</v>
      </c>
      <c r="T638" s="8">
        <f t="shared" si="88"/>
        <v>9.6917565902542719</v>
      </c>
      <c r="U638" t="str">
        <f t="shared" si="89"/>
        <v>High</v>
      </c>
    </row>
    <row r="639" spans="1:21">
      <c r="A639" s="1">
        <v>594</v>
      </c>
      <c r="B639" s="2">
        <v>2021</v>
      </c>
      <c r="C639" s="1" t="s">
        <v>69</v>
      </c>
      <c r="D639" s="1" t="s">
        <v>70</v>
      </c>
      <c r="E639" s="1" t="s">
        <v>17</v>
      </c>
      <c r="F639" s="1" t="s">
        <v>18</v>
      </c>
      <c r="G639" s="10">
        <v>175713986</v>
      </c>
      <c r="H639" s="1">
        <v>79</v>
      </c>
      <c r="I639" s="1">
        <v>83</v>
      </c>
      <c r="J639" s="5">
        <v>34</v>
      </c>
      <c r="K639" s="1" t="s">
        <v>19</v>
      </c>
      <c r="L639" s="1" t="s">
        <v>19</v>
      </c>
      <c r="M639" s="10">
        <f t="shared" si="81"/>
        <v>5168058.4117647056</v>
      </c>
      <c r="N639" s="10">
        <f t="shared" si="82"/>
        <v>2224227.6708860761</v>
      </c>
      <c r="O639" s="1">
        <f t="shared" si="83"/>
        <v>8</v>
      </c>
      <c r="P639" s="1">
        <f t="shared" si="84"/>
        <v>17</v>
      </c>
      <c r="Q639" s="1">
        <f t="shared" si="85"/>
        <v>-9</v>
      </c>
      <c r="R639" s="6">
        <f t="shared" si="86"/>
        <v>0.48765432098765432</v>
      </c>
      <c r="S639" s="8">
        <f t="shared" si="87"/>
        <v>85.240020525313128</v>
      </c>
      <c r="T639" s="8">
        <f t="shared" si="88"/>
        <v>-6.2400205253131276</v>
      </c>
      <c r="U639" t="str">
        <f t="shared" si="89"/>
        <v>High</v>
      </c>
    </row>
    <row r="640" spans="1:21">
      <c r="A640" s="1">
        <v>542</v>
      </c>
      <c r="B640" s="2">
        <v>2021</v>
      </c>
      <c r="C640" s="1" t="s">
        <v>65</v>
      </c>
      <c r="D640" s="1" t="s">
        <v>66</v>
      </c>
      <c r="E640" s="1" t="s">
        <v>17</v>
      </c>
      <c r="F640" s="1" t="s">
        <v>23</v>
      </c>
      <c r="G640" s="10">
        <v>174808832</v>
      </c>
      <c r="H640" s="1">
        <v>82</v>
      </c>
      <c r="I640" s="1">
        <v>80</v>
      </c>
      <c r="J640" s="5">
        <v>30.9</v>
      </c>
      <c r="K640" s="1" t="s">
        <v>19</v>
      </c>
      <c r="L640" s="1" t="s">
        <v>19</v>
      </c>
      <c r="M640" s="10">
        <f t="shared" si="81"/>
        <v>5657243.7540453076</v>
      </c>
      <c r="N640" s="10">
        <f t="shared" si="82"/>
        <v>2131815.0243902439</v>
      </c>
      <c r="O640" s="1">
        <f t="shared" si="83"/>
        <v>9</v>
      </c>
      <c r="P640" s="1">
        <f t="shared" si="84"/>
        <v>15</v>
      </c>
      <c r="Q640" s="1">
        <f t="shared" si="85"/>
        <v>-6</v>
      </c>
      <c r="R640" s="6">
        <f t="shared" si="86"/>
        <v>0.50617283950617287</v>
      </c>
      <c r="S640" s="8">
        <f t="shared" si="87"/>
        <v>85.160995996294318</v>
      </c>
      <c r="T640" s="8">
        <f t="shared" si="88"/>
        <v>-3.1609959962943179</v>
      </c>
      <c r="U640" t="str">
        <f t="shared" si="89"/>
        <v>High</v>
      </c>
    </row>
    <row r="641" spans="1:21">
      <c r="A641" s="1">
        <v>672</v>
      </c>
      <c r="B641" s="2">
        <v>2021</v>
      </c>
      <c r="C641" s="1" t="s">
        <v>75</v>
      </c>
      <c r="D641" s="1" t="s">
        <v>76</v>
      </c>
      <c r="E641" s="1" t="s">
        <v>17</v>
      </c>
      <c r="F641" s="1" t="s">
        <v>32</v>
      </c>
      <c r="G641" s="10">
        <v>164972833</v>
      </c>
      <c r="H641" s="1">
        <v>90</v>
      </c>
      <c r="I641" s="1">
        <v>72</v>
      </c>
      <c r="J641" s="5">
        <v>31.3</v>
      </c>
      <c r="K641" s="1" t="s">
        <v>20</v>
      </c>
      <c r="L641" s="1" t="s">
        <v>19</v>
      </c>
      <c r="M641" s="10">
        <f t="shared" si="81"/>
        <v>5270697.539936102</v>
      </c>
      <c r="N641" s="10">
        <f t="shared" si="82"/>
        <v>1833031.4777777777</v>
      </c>
      <c r="O641" s="1">
        <f t="shared" si="83"/>
        <v>10</v>
      </c>
      <c r="P641" s="1">
        <f t="shared" si="84"/>
        <v>10</v>
      </c>
      <c r="Q641" s="1">
        <f t="shared" si="85"/>
        <v>0</v>
      </c>
      <c r="R641" s="6">
        <f t="shared" si="86"/>
        <v>0.55555555555555558</v>
      </c>
      <c r="S641" s="8">
        <f t="shared" si="87"/>
        <v>84.302263461936064</v>
      </c>
      <c r="T641" s="8">
        <f t="shared" si="88"/>
        <v>5.6977365380639355</v>
      </c>
      <c r="U641" t="str">
        <f t="shared" si="89"/>
        <v>High</v>
      </c>
    </row>
    <row r="642" spans="1:21">
      <c r="A642" s="1">
        <v>126</v>
      </c>
      <c r="B642" s="2">
        <v>2021</v>
      </c>
      <c r="C642" s="1" t="s">
        <v>30</v>
      </c>
      <c r="D642" s="1" t="s">
        <v>31</v>
      </c>
      <c r="E642" s="1" t="s">
        <v>17</v>
      </c>
      <c r="F642" s="1" t="s">
        <v>32</v>
      </c>
      <c r="G642" s="10">
        <v>156481585</v>
      </c>
      <c r="H642" s="1">
        <v>71</v>
      </c>
      <c r="I642" s="1">
        <v>91</v>
      </c>
      <c r="J642" s="5">
        <v>23.1</v>
      </c>
      <c r="K642" s="1" t="s">
        <v>19</v>
      </c>
      <c r="L642" s="1" t="s">
        <v>19</v>
      </c>
      <c r="M642" s="10">
        <f t="shared" ref="M642:M705" si="90">G642/J642</f>
        <v>6774094.5887445882</v>
      </c>
      <c r="N642" s="10">
        <f t="shared" ref="N642:N705" si="91">G642/H642</f>
        <v>2203965.9859154928</v>
      </c>
      <c r="O642" s="1">
        <f t="shared" si="83"/>
        <v>11</v>
      </c>
      <c r="P642" s="1">
        <f t="shared" si="84"/>
        <v>24</v>
      </c>
      <c r="Q642" s="1">
        <f t="shared" si="85"/>
        <v>-13</v>
      </c>
      <c r="R642" s="6">
        <f t="shared" si="86"/>
        <v>0.43827160493827161</v>
      </c>
      <c r="S642" s="8">
        <f t="shared" si="87"/>
        <v>83.560934501359256</v>
      </c>
      <c r="T642" s="8">
        <f t="shared" si="88"/>
        <v>-12.560934501359256</v>
      </c>
      <c r="U642" t="str">
        <f t="shared" si="89"/>
        <v>High</v>
      </c>
    </row>
    <row r="643" spans="1:21">
      <c r="A643" s="1">
        <v>620</v>
      </c>
      <c r="B643" s="2">
        <v>2021</v>
      </c>
      <c r="C643" s="1" t="s">
        <v>71</v>
      </c>
      <c r="D643" s="1" t="s">
        <v>72</v>
      </c>
      <c r="E643" s="1" t="s">
        <v>17</v>
      </c>
      <c r="F643" s="1" t="s">
        <v>18</v>
      </c>
      <c r="G643" s="10">
        <v>149937613</v>
      </c>
      <c r="H643" s="1">
        <v>107</v>
      </c>
      <c r="I643" s="1">
        <v>55</v>
      </c>
      <c r="J643" s="5">
        <v>49.1</v>
      </c>
      <c r="K643" s="1" t="s">
        <v>20</v>
      </c>
      <c r="L643" s="1" t="s">
        <v>19</v>
      </c>
      <c r="M643" s="10">
        <f t="shared" si="90"/>
        <v>3053719.2057026476</v>
      </c>
      <c r="N643" s="10">
        <f t="shared" si="91"/>
        <v>1401286.1028037383</v>
      </c>
      <c r="O643" s="1">
        <f t="shared" ref="O643:O706" si="92">COUNTIFS($B$2:$B$1000, B643, $G$2:$G$1000, "&gt;"&amp;G643) + 1</f>
        <v>12</v>
      </c>
      <c r="P643" s="1">
        <f t="shared" ref="P643:P706" si="93">COUNTIFS($B$2:$B$1000, B643, $H$2:$H$1000, "&gt;"&amp;H643) + 1</f>
        <v>1</v>
      </c>
      <c r="Q643" s="1">
        <f t="shared" ref="Q643:Q706" si="94">O643-P643</f>
        <v>11</v>
      </c>
      <c r="R643" s="6">
        <f t="shared" ref="R643:R706" si="95">H643/(H643+I643)</f>
        <v>0.66049382716049387</v>
      </c>
      <c r="S643" s="8">
        <f t="shared" ref="S643:S706" si="96">_xlfn.FORECAST.LINEAR(G643, $H$2:$H$781, $G$2:$G$781)</f>
        <v>82.989612598995365</v>
      </c>
      <c r="T643" s="8">
        <f t="shared" ref="T643:T706" si="97">H643-S643</f>
        <v>24.010387401004635</v>
      </c>
      <c r="U643" t="str">
        <f t="shared" ref="U643:U706" si="98">IF(G643&lt;80000000,"Low",
 IF(G643&lt;150000000,"Mid","High"))</f>
        <v>Mid</v>
      </c>
    </row>
    <row r="644" spans="1:21">
      <c r="A644" s="1">
        <v>750</v>
      </c>
      <c r="B644" s="2">
        <v>2021</v>
      </c>
      <c r="C644" s="1" t="s">
        <v>81</v>
      </c>
      <c r="D644" s="1" t="s">
        <v>82</v>
      </c>
      <c r="E644" s="1" t="s">
        <v>26</v>
      </c>
      <c r="F644" s="1" t="s">
        <v>27</v>
      </c>
      <c r="G644" s="10">
        <v>139646569</v>
      </c>
      <c r="H644" s="1">
        <v>91</v>
      </c>
      <c r="I644" s="1">
        <v>71</v>
      </c>
      <c r="J644" s="5">
        <v>49.1</v>
      </c>
      <c r="K644" s="1" t="s">
        <v>19</v>
      </c>
      <c r="L644" s="1" t="s">
        <v>19</v>
      </c>
      <c r="M644" s="10">
        <f t="shared" si="90"/>
        <v>2844125.6415478615</v>
      </c>
      <c r="N644" s="10">
        <f t="shared" si="91"/>
        <v>1534577.6813186812</v>
      </c>
      <c r="O644" s="1">
        <f t="shared" si="92"/>
        <v>13</v>
      </c>
      <c r="P644" s="1">
        <f t="shared" si="93"/>
        <v>9</v>
      </c>
      <c r="Q644" s="1">
        <f t="shared" si="94"/>
        <v>4</v>
      </c>
      <c r="R644" s="6">
        <f t="shared" si="95"/>
        <v>0.56172839506172845</v>
      </c>
      <c r="S644" s="8">
        <f t="shared" si="96"/>
        <v>82.091152331226695</v>
      </c>
      <c r="T644" s="8">
        <f t="shared" si="97"/>
        <v>8.9088476687733049</v>
      </c>
      <c r="U644" t="str">
        <f t="shared" si="98"/>
        <v>Mid</v>
      </c>
    </row>
    <row r="645" spans="1:21">
      <c r="A645" s="1">
        <v>152</v>
      </c>
      <c r="B645" s="2">
        <v>2021</v>
      </c>
      <c r="C645" s="1" t="s">
        <v>33</v>
      </c>
      <c r="D645" s="1" t="s">
        <v>34</v>
      </c>
      <c r="E645" s="1" t="s">
        <v>26</v>
      </c>
      <c r="F645" s="1" t="s">
        <v>35</v>
      </c>
      <c r="G645" s="10">
        <v>127148334</v>
      </c>
      <c r="H645" s="1">
        <v>93</v>
      </c>
      <c r="I645" s="1">
        <v>69</v>
      </c>
      <c r="J645" s="5">
        <v>42.6</v>
      </c>
      <c r="K645" s="1" t="s">
        <v>20</v>
      </c>
      <c r="L645" s="1" t="s">
        <v>19</v>
      </c>
      <c r="M645" s="10">
        <f t="shared" si="90"/>
        <v>2984702.676056338</v>
      </c>
      <c r="N645" s="10">
        <f t="shared" si="91"/>
        <v>1367186.3870967743</v>
      </c>
      <c r="O645" s="1">
        <f t="shared" si="92"/>
        <v>14</v>
      </c>
      <c r="P645" s="1">
        <f t="shared" si="93"/>
        <v>6</v>
      </c>
      <c r="Q645" s="1">
        <f t="shared" si="94"/>
        <v>8</v>
      </c>
      <c r="R645" s="6">
        <f t="shared" si="95"/>
        <v>0.57407407407407407</v>
      </c>
      <c r="S645" s="8">
        <f t="shared" si="96"/>
        <v>80.999993109214259</v>
      </c>
      <c r="T645" s="8">
        <f t="shared" si="97"/>
        <v>12.000006890785741</v>
      </c>
      <c r="U645" t="str">
        <f t="shared" si="98"/>
        <v>Mid</v>
      </c>
    </row>
    <row r="646" spans="1:21">
      <c r="A646" s="1">
        <v>438</v>
      </c>
      <c r="B646" s="2">
        <v>2021</v>
      </c>
      <c r="C646" s="1" t="s">
        <v>57</v>
      </c>
      <c r="D646" s="1" t="s">
        <v>58</v>
      </c>
      <c r="E646" s="1" t="s">
        <v>26</v>
      </c>
      <c r="F646" s="1" t="s">
        <v>35</v>
      </c>
      <c r="G646" s="10">
        <v>125153166</v>
      </c>
      <c r="H646" s="1">
        <v>73</v>
      </c>
      <c r="I646" s="1">
        <v>89</v>
      </c>
      <c r="J646" s="5">
        <v>21.5</v>
      </c>
      <c r="K646" s="1" t="s">
        <v>19</v>
      </c>
      <c r="L646" s="1" t="s">
        <v>19</v>
      </c>
      <c r="M646" s="10">
        <f t="shared" si="90"/>
        <v>5821077.4883720931</v>
      </c>
      <c r="N646" s="10">
        <f t="shared" si="91"/>
        <v>1714426.9315068494</v>
      </c>
      <c r="O646" s="1">
        <f t="shared" si="92"/>
        <v>15</v>
      </c>
      <c r="P646" s="1">
        <f t="shared" si="93"/>
        <v>23</v>
      </c>
      <c r="Q646" s="1">
        <f t="shared" si="94"/>
        <v>-8</v>
      </c>
      <c r="R646" s="6">
        <f t="shared" si="95"/>
        <v>0.45061728395061729</v>
      </c>
      <c r="S646" s="8">
        <f t="shared" si="96"/>
        <v>80.825804836817071</v>
      </c>
      <c r="T646" s="8">
        <f t="shared" si="97"/>
        <v>-7.8258048368170705</v>
      </c>
      <c r="U646" t="str">
        <f t="shared" si="98"/>
        <v>Mid</v>
      </c>
    </row>
    <row r="647" spans="1:21">
      <c r="A647" s="1">
        <v>178</v>
      </c>
      <c r="B647" s="2">
        <v>2021</v>
      </c>
      <c r="C647" s="1" t="s">
        <v>36</v>
      </c>
      <c r="D647" s="1" t="s">
        <v>37</v>
      </c>
      <c r="E647" s="1" t="s">
        <v>17</v>
      </c>
      <c r="F647" s="1" t="s">
        <v>32</v>
      </c>
      <c r="G647" s="10">
        <v>123575488</v>
      </c>
      <c r="H647" s="1">
        <v>83</v>
      </c>
      <c r="I647" s="1">
        <v>79</v>
      </c>
      <c r="J647" s="5">
        <v>31.8</v>
      </c>
      <c r="K647" s="1" t="s">
        <v>19</v>
      </c>
      <c r="L647" s="1" t="s">
        <v>19</v>
      </c>
      <c r="M647" s="10">
        <f t="shared" si="90"/>
        <v>3886021.6352201258</v>
      </c>
      <c r="N647" s="10">
        <f t="shared" si="91"/>
        <v>1488861.3012048192</v>
      </c>
      <c r="O647" s="1">
        <f t="shared" si="92"/>
        <v>16</v>
      </c>
      <c r="P647" s="1">
        <f t="shared" si="93"/>
        <v>14</v>
      </c>
      <c r="Q647" s="1">
        <f t="shared" si="94"/>
        <v>2</v>
      </c>
      <c r="R647" s="6">
        <f t="shared" si="95"/>
        <v>0.51234567901234573</v>
      </c>
      <c r="S647" s="8">
        <f t="shared" si="96"/>
        <v>80.688065556105343</v>
      </c>
      <c r="T647" s="8">
        <f t="shared" si="97"/>
        <v>2.311934443894657</v>
      </c>
      <c r="U647" t="str">
        <f t="shared" si="98"/>
        <v>Mid</v>
      </c>
    </row>
    <row r="648" spans="1:21">
      <c r="A648" s="1">
        <v>230</v>
      </c>
      <c r="B648" s="2">
        <v>2021</v>
      </c>
      <c r="C648" s="1" t="s">
        <v>40</v>
      </c>
      <c r="D648" s="1" t="s">
        <v>41</v>
      </c>
      <c r="E648" s="1" t="s">
        <v>17</v>
      </c>
      <c r="F648" s="1" t="s">
        <v>18</v>
      </c>
      <c r="G648" s="10">
        <v>110309500</v>
      </c>
      <c r="H648" s="1">
        <v>74</v>
      </c>
      <c r="I648" s="1">
        <v>87</v>
      </c>
      <c r="J648" s="5">
        <v>26.4</v>
      </c>
      <c r="K648" s="1" t="s">
        <v>19</v>
      </c>
      <c r="L648" s="1" t="s">
        <v>19</v>
      </c>
      <c r="M648" s="10">
        <f t="shared" si="90"/>
        <v>4178390.1515151518</v>
      </c>
      <c r="N648" s="10">
        <f t="shared" si="91"/>
        <v>1490668.9189189188</v>
      </c>
      <c r="O648" s="1">
        <f t="shared" si="92"/>
        <v>17</v>
      </c>
      <c r="P648" s="1">
        <f t="shared" si="93"/>
        <v>21</v>
      </c>
      <c r="Q648" s="1">
        <f t="shared" si="94"/>
        <v>-4</v>
      </c>
      <c r="R648" s="6">
        <f t="shared" si="95"/>
        <v>0.45962732919254656</v>
      </c>
      <c r="S648" s="8">
        <f t="shared" si="96"/>
        <v>79.529877608342616</v>
      </c>
      <c r="T648" s="8">
        <f t="shared" si="97"/>
        <v>-5.5298776083426162</v>
      </c>
      <c r="U648" t="str">
        <f t="shared" si="98"/>
        <v>Mid</v>
      </c>
    </row>
    <row r="649" spans="1:21">
      <c r="A649" s="1">
        <v>724</v>
      </c>
      <c r="B649" s="2">
        <v>2021</v>
      </c>
      <c r="C649" s="1" t="s">
        <v>79</v>
      </c>
      <c r="D649" s="1" t="s">
        <v>80</v>
      </c>
      <c r="E649" s="1" t="s">
        <v>26</v>
      </c>
      <c r="F649" s="1" t="s">
        <v>46</v>
      </c>
      <c r="G649" s="10">
        <v>97796971</v>
      </c>
      <c r="H649" s="1">
        <v>60</v>
      </c>
      <c r="I649" s="1">
        <v>102</v>
      </c>
      <c r="J649" s="5">
        <v>18.600000000000001</v>
      </c>
      <c r="K649" s="1" t="s">
        <v>19</v>
      </c>
      <c r="L649" s="1" t="s">
        <v>19</v>
      </c>
      <c r="M649" s="10">
        <f t="shared" si="90"/>
        <v>5257901.666666666</v>
      </c>
      <c r="N649" s="10">
        <f t="shared" si="91"/>
        <v>1629949.5166666666</v>
      </c>
      <c r="O649" s="1">
        <f t="shared" si="92"/>
        <v>18</v>
      </c>
      <c r="P649" s="1">
        <f t="shared" si="93"/>
        <v>28</v>
      </c>
      <c r="Q649" s="1">
        <f t="shared" si="94"/>
        <v>-10</v>
      </c>
      <c r="R649" s="6">
        <f t="shared" si="95"/>
        <v>0.37037037037037035</v>
      </c>
      <c r="S649" s="8">
        <f t="shared" si="96"/>
        <v>78.437470447727705</v>
      </c>
      <c r="T649" s="8">
        <f t="shared" si="97"/>
        <v>-18.437470447727705</v>
      </c>
      <c r="U649" t="str">
        <f t="shared" si="98"/>
        <v>Mid</v>
      </c>
    </row>
    <row r="650" spans="1:21">
      <c r="A650" s="1">
        <v>412</v>
      </c>
      <c r="B650" s="2">
        <v>2021</v>
      </c>
      <c r="C650" s="1" t="s">
        <v>55</v>
      </c>
      <c r="D650" s="1" t="s">
        <v>56</v>
      </c>
      <c r="E650" s="1" t="s">
        <v>17</v>
      </c>
      <c r="F650" s="1" t="s">
        <v>32</v>
      </c>
      <c r="G650" s="10">
        <v>93818038</v>
      </c>
      <c r="H650" s="1">
        <v>95</v>
      </c>
      <c r="I650" s="1">
        <v>67</v>
      </c>
      <c r="J650" s="5">
        <v>39.700000000000003</v>
      </c>
      <c r="K650" s="1" t="s">
        <v>20</v>
      </c>
      <c r="L650" s="1" t="s">
        <v>19</v>
      </c>
      <c r="M650" s="10">
        <f t="shared" si="90"/>
        <v>2363174.7607052894</v>
      </c>
      <c r="N650" s="10">
        <f t="shared" si="91"/>
        <v>987558.29473684216</v>
      </c>
      <c r="O650" s="1">
        <f t="shared" si="92"/>
        <v>19</v>
      </c>
      <c r="P650" s="1">
        <f t="shared" si="93"/>
        <v>4</v>
      </c>
      <c r="Q650" s="1">
        <f t="shared" si="94"/>
        <v>15</v>
      </c>
      <c r="R650" s="6">
        <f t="shared" si="95"/>
        <v>0.5864197530864198</v>
      </c>
      <c r="S650" s="8">
        <f t="shared" si="96"/>
        <v>78.090089442592216</v>
      </c>
      <c r="T650" s="8">
        <f t="shared" si="97"/>
        <v>16.909910557407784</v>
      </c>
      <c r="U650" t="str">
        <f t="shared" si="98"/>
        <v>Mid</v>
      </c>
    </row>
    <row r="651" spans="1:21">
      <c r="A651" s="1">
        <v>308</v>
      </c>
      <c r="B651" s="2">
        <v>2021</v>
      </c>
      <c r="C651" s="1" t="s">
        <v>47</v>
      </c>
      <c r="D651" s="1" t="s">
        <v>48</v>
      </c>
      <c r="E651" s="1" t="s">
        <v>26</v>
      </c>
      <c r="F651" s="1" t="s">
        <v>35</v>
      </c>
      <c r="G651" s="10">
        <v>89496700</v>
      </c>
      <c r="H651" s="1">
        <v>74</v>
      </c>
      <c r="I651" s="1">
        <v>88</v>
      </c>
      <c r="J651" s="5">
        <v>23.9</v>
      </c>
      <c r="K651" s="1" t="s">
        <v>19</v>
      </c>
      <c r="L651" s="1" t="s">
        <v>19</v>
      </c>
      <c r="M651" s="10">
        <f t="shared" si="90"/>
        <v>3744631.7991631799</v>
      </c>
      <c r="N651" s="10">
        <f t="shared" si="91"/>
        <v>1209414.8648648649</v>
      </c>
      <c r="O651" s="1">
        <f t="shared" si="92"/>
        <v>20</v>
      </c>
      <c r="P651" s="1">
        <f t="shared" si="93"/>
        <v>21</v>
      </c>
      <c r="Q651" s="1">
        <f t="shared" si="94"/>
        <v>-1</v>
      </c>
      <c r="R651" s="6">
        <f t="shared" si="95"/>
        <v>0.4567901234567901</v>
      </c>
      <c r="S651" s="8">
        <f t="shared" si="96"/>
        <v>77.712814746594518</v>
      </c>
      <c r="T651" s="8">
        <f t="shared" si="97"/>
        <v>-3.7128147465945176</v>
      </c>
      <c r="U651" t="str">
        <f t="shared" si="98"/>
        <v>Mid</v>
      </c>
    </row>
    <row r="652" spans="1:21">
      <c r="A652" s="1">
        <v>646</v>
      </c>
      <c r="B652" s="2">
        <v>2021</v>
      </c>
      <c r="C652" s="1" t="s">
        <v>73</v>
      </c>
      <c r="D652" s="1" t="s">
        <v>74</v>
      </c>
      <c r="E652" s="1" t="s">
        <v>26</v>
      </c>
      <c r="F652" s="1" t="s">
        <v>46</v>
      </c>
      <c r="G652" s="10">
        <v>83603100</v>
      </c>
      <c r="H652" s="1">
        <v>90</v>
      </c>
      <c r="I652" s="1">
        <v>72</v>
      </c>
      <c r="J652" s="5">
        <v>29.7</v>
      </c>
      <c r="K652" s="1" t="s">
        <v>19</v>
      </c>
      <c r="L652" s="1" t="s">
        <v>19</v>
      </c>
      <c r="M652" s="10">
        <f t="shared" si="90"/>
        <v>2814919.1919191922</v>
      </c>
      <c r="N652" s="10">
        <f t="shared" si="91"/>
        <v>928923.33333333337</v>
      </c>
      <c r="O652" s="1">
        <f t="shared" si="92"/>
        <v>21</v>
      </c>
      <c r="P652" s="1">
        <f t="shared" si="93"/>
        <v>10</v>
      </c>
      <c r="Q652" s="1">
        <f t="shared" si="94"/>
        <v>11</v>
      </c>
      <c r="R652" s="6">
        <f t="shared" si="95"/>
        <v>0.55555555555555558</v>
      </c>
      <c r="S652" s="8">
        <f t="shared" si="96"/>
        <v>77.198273614118406</v>
      </c>
      <c r="T652" s="8">
        <f t="shared" si="97"/>
        <v>12.801726385881594</v>
      </c>
      <c r="U652" t="str">
        <f t="shared" si="98"/>
        <v>Mid</v>
      </c>
    </row>
    <row r="653" spans="1:21">
      <c r="A653" s="1">
        <v>516</v>
      </c>
      <c r="B653" s="2">
        <v>2021</v>
      </c>
      <c r="C653" s="1" t="s">
        <v>63</v>
      </c>
      <c r="D653" s="1" t="s">
        <v>64</v>
      </c>
      <c r="E653" s="1" t="s">
        <v>26</v>
      </c>
      <c r="F653" s="1" t="s">
        <v>46</v>
      </c>
      <c r="G653" s="10">
        <v>82983674</v>
      </c>
      <c r="H653" s="1">
        <v>86</v>
      </c>
      <c r="I653" s="1">
        <v>76</v>
      </c>
      <c r="J653" s="5">
        <v>35.200000000000003</v>
      </c>
      <c r="K653" s="1" t="s">
        <v>19</v>
      </c>
      <c r="L653" s="1" t="s">
        <v>19</v>
      </c>
      <c r="M653" s="10">
        <f t="shared" si="90"/>
        <v>2357490.7386363633</v>
      </c>
      <c r="N653" s="10">
        <f t="shared" si="91"/>
        <v>964926.4418604651</v>
      </c>
      <c r="O653" s="1">
        <f t="shared" si="92"/>
        <v>22</v>
      </c>
      <c r="P653" s="1">
        <f t="shared" si="93"/>
        <v>13</v>
      </c>
      <c r="Q653" s="1">
        <f t="shared" si="94"/>
        <v>9</v>
      </c>
      <c r="R653" s="6">
        <f t="shared" si="95"/>
        <v>0.53086419753086422</v>
      </c>
      <c r="S653" s="8">
        <f t="shared" si="96"/>
        <v>77.144194586779406</v>
      </c>
      <c r="T653" s="8">
        <f t="shared" si="97"/>
        <v>8.8558054132205939</v>
      </c>
      <c r="U653" t="str">
        <f t="shared" si="98"/>
        <v>Mid</v>
      </c>
    </row>
    <row r="654" spans="1:21">
      <c r="A654" s="1">
        <v>256</v>
      </c>
      <c r="B654" s="2">
        <v>2021</v>
      </c>
      <c r="C654" s="1" t="s">
        <v>42</v>
      </c>
      <c r="D654" s="1" t="s">
        <v>43</v>
      </c>
      <c r="E654" s="1" t="s">
        <v>26</v>
      </c>
      <c r="F654" s="1" t="s">
        <v>35</v>
      </c>
      <c r="G654" s="10">
        <v>80866200</v>
      </c>
      <c r="H654" s="1">
        <v>77</v>
      </c>
      <c r="I654" s="1">
        <v>85</v>
      </c>
      <c r="J654" s="5">
        <v>31.4</v>
      </c>
      <c r="K654" s="1" t="s">
        <v>19</v>
      </c>
      <c r="L654" s="1" t="s">
        <v>19</v>
      </c>
      <c r="M654" s="10">
        <f t="shared" si="90"/>
        <v>2575356.6878980892</v>
      </c>
      <c r="N654" s="10">
        <f t="shared" si="91"/>
        <v>1050210.3896103897</v>
      </c>
      <c r="O654" s="1">
        <f t="shared" si="92"/>
        <v>23</v>
      </c>
      <c r="P654" s="1">
        <f t="shared" si="93"/>
        <v>18</v>
      </c>
      <c r="Q654" s="1">
        <f t="shared" si="94"/>
        <v>5</v>
      </c>
      <c r="R654" s="6">
        <f t="shared" si="95"/>
        <v>0.47530864197530864</v>
      </c>
      <c r="S654" s="8">
        <f t="shared" si="96"/>
        <v>76.959328381073433</v>
      </c>
      <c r="T654" s="8">
        <f t="shared" si="97"/>
        <v>4.0671618926566566E-2</v>
      </c>
      <c r="U654" t="str">
        <f t="shared" si="98"/>
        <v>Mid</v>
      </c>
    </row>
    <row r="655" spans="1:21">
      <c r="A655" s="1">
        <v>22</v>
      </c>
      <c r="B655" s="2">
        <v>2021</v>
      </c>
      <c r="C655" s="1" t="s">
        <v>15</v>
      </c>
      <c r="D655" s="1" t="s">
        <v>16</v>
      </c>
      <c r="E655" s="1" t="s">
        <v>17</v>
      </c>
      <c r="F655" s="1" t="s">
        <v>18</v>
      </c>
      <c r="G655" s="11">
        <v>80214882</v>
      </c>
      <c r="H655" s="1">
        <v>52</v>
      </c>
      <c r="I655" s="1">
        <v>110</v>
      </c>
      <c r="J655" s="5">
        <v>15.7</v>
      </c>
      <c r="K655" s="1" t="s">
        <v>19</v>
      </c>
      <c r="L655" s="1" t="s">
        <v>19</v>
      </c>
      <c r="M655" s="10">
        <f t="shared" si="90"/>
        <v>5109228.1528662425</v>
      </c>
      <c r="N655" s="10">
        <f t="shared" si="91"/>
        <v>1542593.8846153845</v>
      </c>
      <c r="O655" s="1">
        <f t="shared" si="92"/>
        <v>24</v>
      </c>
      <c r="P655" s="1">
        <f t="shared" si="93"/>
        <v>29</v>
      </c>
      <c r="Q655" s="1">
        <f t="shared" si="94"/>
        <v>-5</v>
      </c>
      <c r="R655" s="6">
        <f t="shared" si="95"/>
        <v>0.32098765432098764</v>
      </c>
      <c r="S655" s="8">
        <f t="shared" si="96"/>
        <v>76.902465020593922</v>
      </c>
      <c r="T655" s="8">
        <f t="shared" si="97"/>
        <v>-24.902465020593922</v>
      </c>
      <c r="U655" t="str">
        <f t="shared" si="98"/>
        <v>Mid</v>
      </c>
    </row>
    <row r="656" spans="1:21">
      <c r="A656" s="1">
        <v>48</v>
      </c>
      <c r="B656" s="2">
        <v>2021</v>
      </c>
      <c r="C656" s="1" t="s">
        <v>21</v>
      </c>
      <c r="D656" s="1" t="s">
        <v>22</v>
      </c>
      <c r="E656" s="1" t="s">
        <v>17</v>
      </c>
      <c r="F656" s="1" t="s">
        <v>23</v>
      </c>
      <c r="G656" s="11">
        <v>80214882</v>
      </c>
      <c r="H656" s="1">
        <v>88</v>
      </c>
      <c r="I656" s="1">
        <v>73</v>
      </c>
      <c r="J656" s="5">
        <v>35.6</v>
      </c>
      <c r="K656" s="1" t="s">
        <v>20</v>
      </c>
      <c r="L656" s="1" t="s">
        <v>20</v>
      </c>
      <c r="M656" s="10">
        <f t="shared" si="90"/>
        <v>2253227.0224719099</v>
      </c>
      <c r="N656" s="10">
        <f t="shared" si="91"/>
        <v>911532.75</v>
      </c>
      <c r="O656" s="1">
        <f t="shared" si="92"/>
        <v>24</v>
      </c>
      <c r="P656" s="1">
        <f t="shared" si="93"/>
        <v>12</v>
      </c>
      <c r="Q656" s="1">
        <f t="shared" si="94"/>
        <v>12</v>
      </c>
      <c r="R656" s="6">
        <f t="shared" si="95"/>
        <v>0.54658385093167705</v>
      </c>
      <c r="S656" s="8">
        <f t="shared" si="96"/>
        <v>76.902465020593922</v>
      </c>
      <c r="T656" s="8">
        <f t="shared" si="97"/>
        <v>11.097534979406078</v>
      </c>
      <c r="U656" t="str">
        <f t="shared" si="98"/>
        <v>Mid</v>
      </c>
    </row>
    <row r="657" spans="1:21">
      <c r="A657" s="1">
        <v>74</v>
      </c>
      <c r="B657" s="2">
        <v>2021</v>
      </c>
      <c r="C657" s="1" t="s">
        <v>24</v>
      </c>
      <c r="D657" s="1" t="s">
        <v>25</v>
      </c>
      <c r="E657" s="1" t="s">
        <v>26</v>
      </c>
      <c r="F657" s="1" t="s">
        <v>27</v>
      </c>
      <c r="G657" s="11">
        <v>80214882</v>
      </c>
      <c r="H657" s="1">
        <v>52</v>
      </c>
      <c r="I657" s="1">
        <v>110</v>
      </c>
      <c r="J657" s="5">
        <v>14.2</v>
      </c>
      <c r="K657" s="1" t="s">
        <v>19</v>
      </c>
      <c r="L657" s="1" t="s">
        <v>19</v>
      </c>
      <c r="M657" s="10">
        <f t="shared" si="90"/>
        <v>5648935.352112676</v>
      </c>
      <c r="N657" s="10">
        <f t="shared" si="91"/>
        <v>1542593.8846153845</v>
      </c>
      <c r="O657" s="1">
        <f t="shared" si="92"/>
        <v>24</v>
      </c>
      <c r="P657" s="1">
        <f t="shared" si="93"/>
        <v>29</v>
      </c>
      <c r="Q657" s="1">
        <f t="shared" si="94"/>
        <v>-5</v>
      </c>
      <c r="R657" s="6">
        <f t="shared" si="95"/>
        <v>0.32098765432098764</v>
      </c>
      <c r="S657" s="8">
        <f t="shared" si="96"/>
        <v>76.902465020593922</v>
      </c>
      <c r="T657" s="8">
        <f t="shared" si="97"/>
        <v>-24.902465020593922</v>
      </c>
      <c r="U657" t="str">
        <f t="shared" si="98"/>
        <v>Mid</v>
      </c>
    </row>
    <row r="658" spans="1:21">
      <c r="A658" s="1">
        <v>698</v>
      </c>
      <c r="B658" s="2">
        <v>2021</v>
      </c>
      <c r="C658" s="1" t="s">
        <v>77</v>
      </c>
      <c r="D658" s="1" t="s">
        <v>78</v>
      </c>
      <c r="E658" s="1" t="s">
        <v>26</v>
      </c>
      <c r="F658" s="1" t="s">
        <v>27</v>
      </c>
      <c r="G658" s="10">
        <v>66820709</v>
      </c>
      <c r="H658" s="1">
        <v>100</v>
      </c>
      <c r="I658" s="1">
        <v>62</v>
      </c>
      <c r="J658" s="5">
        <v>40.9</v>
      </c>
      <c r="K658" s="1" t="s">
        <v>20</v>
      </c>
      <c r="L658" s="1" t="s">
        <v>19</v>
      </c>
      <c r="M658" s="10">
        <f t="shared" si="90"/>
        <v>1633758.1662591686</v>
      </c>
      <c r="N658" s="10">
        <f t="shared" si="91"/>
        <v>668207.09</v>
      </c>
      <c r="O658" s="1">
        <f t="shared" si="92"/>
        <v>27</v>
      </c>
      <c r="P658" s="1">
        <f t="shared" si="93"/>
        <v>3</v>
      </c>
      <c r="Q658" s="1">
        <f t="shared" si="94"/>
        <v>24</v>
      </c>
      <c r="R658" s="6">
        <f t="shared" si="95"/>
        <v>0.61728395061728392</v>
      </c>
      <c r="S658" s="8">
        <f t="shared" si="96"/>
        <v>75.733085873043891</v>
      </c>
      <c r="T658" s="8">
        <f t="shared" si="97"/>
        <v>24.266914126956109</v>
      </c>
      <c r="U658" t="str">
        <f t="shared" si="98"/>
        <v>Low</v>
      </c>
    </row>
    <row r="659" spans="1:21">
      <c r="A659" s="1">
        <v>386</v>
      </c>
      <c r="B659" s="2">
        <v>2021</v>
      </c>
      <c r="C659" s="1" t="s">
        <v>53</v>
      </c>
      <c r="D659" s="1" t="s">
        <v>54</v>
      </c>
      <c r="E659" s="1" t="s">
        <v>17</v>
      </c>
      <c r="F659" s="1" t="s">
        <v>23</v>
      </c>
      <c r="G659" s="10">
        <v>57481750</v>
      </c>
      <c r="H659" s="1">
        <v>67</v>
      </c>
      <c r="I659" s="1">
        <v>95</v>
      </c>
      <c r="J659" s="5">
        <v>29.1</v>
      </c>
      <c r="K659" s="1" t="s">
        <v>19</v>
      </c>
      <c r="L659" s="1" t="s">
        <v>19</v>
      </c>
      <c r="M659" s="10">
        <f t="shared" si="90"/>
        <v>1975317.8694158075</v>
      </c>
      <c r="N659" s="10">
        <f t="shared" si="91"/>
        <v>857936.56716417905</v>
      </c>
      <c r="O659" s="1">
        <f t="shared" si="92"/>
        <v>28</v>
      </c>
      <c r="P659" s="1">
        <f t="shared" si="93"/>
        <v>25</v>
      </c>
      <c r="Q659" s="1">
        <f t="shared" si="94"/>
        <v>3</v>
      </c>
      <c r="R659" s="6">
        <f t="shared" si="95"/>
        <v>0.41358024691358025</v>
      </c>
      <c r="S659" s="8">
        <f t="shared" si="96"/>
        <v>74.917747448310649</v>
      </c>
      <c r="T659" s="8">
        <f t="shared" si="97"/>
        <v>-7.9177474483106494</v>
      </c>
      <c r="U659" t="str">
        <f t="shared" si="98"/>
        <v>Low</v>
      </c>
    </row>
    <row r="660" spans="1:21">
      <c r="A660" s="1">
        <v>204</v>
      </c>
      <c r="B660" s="2">
        <v>2021</v>
      </c>
      <c r="C660" s="1" t="s">
        <v>38</v>
      </c>
      <c r="D660" s="1" t="s">
        <v>39</v>
      </c>
      <c r="E660" s="1" t="s">
        <v>26</v>
      </c>
      <c r="F660" s="1" t="s">
        <v>35</v>
      </c>
      <c r="G660" s="10">
        <v>51269100</v>
      </c>
      <c r="H660" s="1">
        <v>80</v>
      </c>
      <c r="I660" s="1">
        <v>82</v>
      </c>
      <c r="J660" s="5">
        <v>35.200000000000003</v>
      </c>
      <c r="K660" s="1" t="s">
        <v>19</v>
      </c>
      <c r="L660" s="1" t="s">
        <v>19</v>
      </c>
      <c r="M660" s="10">
        <f t="shared" si="90"/>
        <v>1456508.5227272727</v>
      </c>
      <c r="N660" s="10">
        <f t="shared" si="91"/>
        <v>640863.75</v>
      </c>
      <c r="O660" s="1">
        <f t="shared" si="92"/>
        <v>29</v>
      </c>
      <c r="P660" s="1">
        <f t="shared" si="93"/>
        <v>16</v>
      </c>
      <c r="Q660" s="1">
        <f t="shared" si="94"/>
        <v>13</v>
      </c>
      <c r="R660" s="6">
        <f t="shared" si="95"/>
        <v>0.49382716049382713</v>
      </c>
      <c r="S660" s="8">
        <f t="shared" si="96"/>
        <v>74.375351634770922</v>
      </c>
      <c r="T660" s="8">
        <f t="shared" si="97"/>
        <v>5.6246483652290777</v>
      </c>
      <c r="U660" t="str">
        <f t="shared" si="98"/>
        <v>Low</v>
      </c>
    </row>
    <row r="661" spans="1:21">
      <c r="A661" s="1">
        <v>568</v>
      </c>
      <c r="B661" s="2">
        <v>2021</v>
      </c>
      <c r="C661" s="1" t="s">
        <v>67</v>
      </c>
      <c r="D661" s="1" t="s">
        <v>68</v>
      </c>
      <c r="E661" s="1" t="s">
        <v>17</v>
      </c>
      <c r="F661" s="1" t="s">
        <v>32</v>
      </c>
      <c r="G661" s="10">
        <v>45599000</v>
      </c>
      <c r="H661" s="1">
        <v>61</v>
      </c>
      <c r="I661" s="1">
        <v>101</v>
      </c>
      <c r="J661" s="5">
        <v>14.2</v>
      </c>
      <c r="K661" s="1" t="s">
        <v>19</v>
      </c>
      <c r="L661" s="1" t="s">
        <v>19</v>
      </c>
      <c r="M661" s="10">
        <f t="shared" si="90"/>
        <v>3211197.1830985919</v>
      </c>
      <c r="N661" s="10">
        <f t="shared" si="91"/>
        <v>747524.59016393439</v>
      </c>
      <c r="O661" s="1">
        <f t="shared" si="92"/>
        <v>30</v>
      </c>
      <c r="P661" s="1">
        <f t="shared" si="93"/>
        <v>27</v>
      </c>
      <c r="Q661" s="1">
        <f t="shared" si="94"/>
        <v>3</v>
      </c>
      <c r="R661" s="6">
        <f t="shared" si="95"/>
        <v>0.37654320987654322</v>
      </c>
      <c r="S661" s="8">
        <f t="shared" si="96"/>
        <v>73.880323184375115</v>
      </c>
      <c r="T661" s="8">
        <f t="shared" si="97"/>
        <v>-12.880323184375115</v>
      </c>
      <c r="U661" t="str">
        <f t="shared" si="98"/>
        <v>Low</v>
      </c>
    </row>
    <row r="662" spans="1:21">
      <c r="A662" s="1">
        <v>361</v>
      </c>
      <c r="B662" s="2">
        <v>2022</v>
      </c>
      <c r="C662" s="1" t="s">
        <v>51</v>
      </c>
      <c r="D662" s="1" t="s">
        <v>52</v>
      </c>
      <c r="E662" s="1" t="s">
        <v>17</v>
      </c>
      <c r="F662" s="1" t="s">
        <v>18</v>
      </c>
      <c r="G662" s="10">
        <v>277108333</v>
      </c>
      <c r="H662" s="1">
        <v>111</v>
      </c>
      <c r="I662" s="1">
        <v>51</v>
      </c>
      <c r="J662" s="5">
        <v>55.6</v>
      </c>
      <c r="K662" s="1" t="s">
        <v>20</v>
      </c>
      <c r="L662" s="1" t="s">
        <v>19</v>
      </c>
      <c r="M662" s="10">
        <f t="shared" si="90"/>
        <v>4983962.8237410067</v>
      </c>
      <c r="N662" s="10">
        <f t="shared" si="91"/>
        <v>2496471.4684684686</v>
      </c>
      <c r="O662" s="1">
        <f t="shared" si="92"/>
        <v>1</v>
      </c>
      <c r="P662" s="1">
        <f t="shared" si="93"/>
        <v>1</v>
      </c>
      <c r="Q662" s="1">
        <f t="shared" si="94"/>
        <v>0</v>
      </c>
      <c r="R662" s="6">
        <f t="shared" si="95"/>
        <v>0.68518518518518523</v>
      </c>
      <c r="S662" s="8">
        <f t="shared" si="96"/>
        <v>94.092260604730626</v>
      </c>
      <c r="T662" s="8">
        <f t="shared" si="97"/>
        <v>16.907739395269374</v>
      </c>
      <c r="U662" t="str">
        <f t="shared" si="98"/>
        <v>High</v>
      </c>
    </row>
    <row r="663" spans="1:21">
      <c r="A663" s="1">
        <v>465</v>
      </c>
      <c r="B663" s="2">
        <v>2022</v>
      </c>
      <c r="C663" s="1" t="s">
        <v>59</v>
      </c>
      <c r="D663" s="1" t="s">
        <v>60</v>
      </c>
      <c r="E663" s="1" t="s">
        <v>17</v>
      </c>
      <c r="F663" s="1" t="s">
        <v>23</v>
      </c>
      <c r="G663" s="10">
        <v>253119999</v>
      </c>
      <c r="H663" s="1">
        <v>101</v>
      </c>
      <c r="I663" s="1">
        <v>61</v>
      </c>
      <c r="J663" s="5">
        <v>51.8</v>
      </c>
      <c r="K663" s="1" t="s">
        <v>20</v>
      </c>
      <c r="L663" s="1" t="s">
        <v>19</v>
      </c>
      <c r="M663" s="10">
        <f t="shared" si="90"/>
        <v>4886486.4671814675</v>
      </c>
      <c r="N663" s="10">
        <f t="shared" si="91"/>
        <v>2506138.6039603963</v>
      </c>
      <c r="O663" s="1">
        <f t="shared" si="92"/>
        <v>2</v>
      </c>
      <c r="P663" s="1">
        <f t="shared" si="93"/>
        <v>3</v>
      </c>
      <c r="Q663" s="1">
        <f t="shared" si="94"/>
        <v>-1</v>
      </c>
      <c r="R663" s="6">
        <f t="shared" si="95"/>
        <v>0.62345679012345678</v>
      </c>
      <c r="S663" s="8">
        <f t="shared" si="96"/>
        <v>91.997957539952736</v>
      </c>
      <c r="T663" s="8">
        <f t="shared" si="97"/>
        <v>9.0020424600472637</v>
      </c>
      <c r="U663" t="str">
        <f t="shared" si="98"/>
        <v>High</v>
      </c>
    </row>
    <row r="664" spans="1:21">
      <c r="A664" s="1">
        <v>491</v>
      </c>
      <c r="B664" s="2">
        <v>2022</v>
      </c>
      <c r="C664" s="1" t="s">
        <v>61</v>
      </c>
      <c r="D664" s="1" t="s">
        <v>62</v>
      </c>
      <c r="E664" s="1" t="s">
        <v>26</v>
      </c>
      <c r="F664" s="1" t="s">
        <v>27</v>
      </c>
      <c r="G664" s="10">
        <v>240290714</v>
      </c>
      <c r="H664" s="1">
        <v>99</v>
      </c>
      <c r="I664" s="1">
        <v>63</v>
      </c>
      <c r="J664" s="5">
        <v>48.2</v>
      </c>
      <c r="K664" s="1" t="s">
        <v>20</v>
      </c>
      <c r="L664" s="1" t="s">
        <v>19</v>
      </c>
      <c r="M664" s="10">
        <f t="shared" si="90"/>
        <v>4985284.5228215763</v>
      </c>
      <c r="N664" s="10">
        <f t="shared" si="91"/>
        <v>2427178.9292929294</v>
      </c>
      <c r="O664" s="1">
        <f t="shared" si="92"/>
        <v>3</v>
      </c>
      <c r="P664" s="1">
        <f t="shared" si="93"/>
        <v>5</v>
      </c>
      <c r="Q664" s="1">
        <f t="shared" si="94"/>
        <v>-2</v>
      </c>
      <c r="R664" s="6">
        <f t="shared" si="95"/>
        <v>0.61111111111111116</v>
      </c>
      <c r="S664" s="8">
        <f t="shared" si="96"/>
        <v>90.877895976093853</v>
      </c>
      <c r="T664" s="8">
        <f t="shared" si="97"/>
        <v>8.1221040239061466</v>
      </c>
      <c r="U664" t="str">
        <f t="shared" si="98"/>
        <v>High</v>
      </c>
    </row>
    <row r="665" spans="1:21">
      <c r="A665" s="1">
        <v>543</v>
      </c>
      <c r="B665" s="2">
        <v>2022</v>
      </c>
      <c r="C665" s="1" t="s">
        <v>65</v>
      </c>
      <c r="D665" s="1" t="s">
        <v>66</v>
      </c>
      <c r="E665" s="1" t="s">
        <v>17</v>
      </c>
      <c r="F665" s="1" t="s">
        <v>23</v>
      </c>
      <c r="G665" s="10">
        <v>221738462</v>
      </c>
      <c r="H665" s="1">
        <v>87</v>
      </c>
      <c r="I665" s="1">
        <v>75</v>
      </c>
      <c r="J665" s="5">
        <v>41.2</v>
      </c>
      <c r="K665" s="1" t="s">
        <v>20</v>
      </c>
      <c r="L665" s="1" t="s">
        <v>19</v>
      </c>
      <c r="M665" s="10">
        <f t="shared" si="90"/>
        <v>5382001.504854369</v>
      </c>
      <c r="N665" s="10">
        <f t="shared" si="91"/>
        <v>2548717.9540229887</v>
      </c>
      <c r="O665" s="1">
        <f t="shared" si="92"/>
        <v>4</v>
      </c>
      <c r="P665" s="1">
        <f t="shared" si="93"/>
        <v>11</v>
      </c>
      <c r="Q665" s="1">
        <f t="shared" si="94"/>
        <v>-7</v>
      </c>
      <c r="R665" s="6">
        <f t="shared" si="95"/>
        <v>0.53703703703703709</v>
      </c>
      <c r="S665" s="8">
        <f t="shared" si="96"/>
        <v>89.258190404955329</v>
      </c>
      <c r="T665" s="8">
        <f t="shared" si="97"/>
        <v>-2.2581904049553287</v>
      </c>
      <c r="U665" t="str">
        <f t="shared" si="98"/>
        <v>High</v>
      </c>
    </row>
    <row r="666" spans="1:21">
      <c r="A666" s="1">
        <v>595</v>
      </c>
      <c r="B666" s="2">
        <v>2022</v>
      </c>
      <c r="C666" s="1" t="s">
        <v>69</v>
      </c>
      <c r="D666" s="1" t="s">
        <v>70</v>
      </c>
      <c r="E666" s="1" t="s">
        <v>17</v>
      </c>
      <c r="F666" s="1" t="s">
        <v>18</v>
      </c>
      <c r="G666" s="10">
        <v>208772618</v>
      </c>
      <c r="H666" s="1">
        <v>89</v>
      </c>
      <c r="I666" s="1">
        <v>73</v>
      </c>
      <c r="J666" s="5">
        <v>44.6</v>
      </c>
      <c r="K666" s="1" t="s">
        <v>20</v>
      </c>
      <c r="L666" s="1" t="s">
        <v>19</v>
      </c>
      <c r="M666" s="10">
        <f t="shared" si="90"/>
        <v>4681000.4035874438</v>
      </c>
      <c r="N666" s="10">
        <f t="shared" si="91"/>
        <v>2345759.7528089886</v>
      </c>
      <c r="O666" s="1">
        <f t="shared" si="92"/>
        <v>5</v>
      </c>
      <c r="P666" s="1">
        <f t="shared" si="93"/>
        <v>10</v>
      </c>
      <c r="Q666" s="1">
        <f t="shared" si="94"/>
        <v>-5</v>
      </c>
      <c r="R666" s="6">
        <f t="shared" si="95"/>
        <v>0.54938271604938271</v>
      </c>
      <c r="S666" s="8">
        <f t="shared" si="96"/>
        <v>88.126206548692863</v>
      </c>
      <c r="T666" s="8">
        <f t="shared" si="97"/>
        <v>0.87379345130713659</v>
      </c>
      <c r="U666" t="str">
        <f t="shared" si="98"/>
        <v>High</v>
      </c>
    </row>
    <row r="667" spans="1:21">
      <c r="A667" s="1">
        <v>101</v>
      </c>
      <c r="B667" s="2">
        <v>2022</v>
      </c>
      <c r="C667" s="1" t="s">
        <v>28</v>
      </c>
      <c r="D667" s="1" t="s">
        <v>29</v>
      </c>
      <c r="E667" s="1" t="s">
        <v>26</v>
      </c>
      <c r="F667" s="1" t="s">
        <v>27</v>
      </c>
      <c r="G667" s="10">
        <v>195166000</v>
      </c>
      <c r="H667" s="1">
        <v>78</v>
      </c>
      <c r="I667" s="1">
        <v>84</v>
      </c>
      <c r="J667" s="5">
        <v>31.3</v>
      </c>
      <c r="K667" s="1" t="s">
        <v>19</v>
      </c>
      <c r="L667" s="1" t="s">
        <v>19</v>
      </c>
      <c r="M667" s="10">
        <f t="shared" si="90"/>
        <v>6235335.4632587861</v>
      </c>
      <c r="N667" s="10">
        <f t="shared" si="91"/>
        <v>2502128.205128205</v>
      </c>
      <c r="O667" s="1">
        <f t="shared" si="92"/>
        <v>6</v>
      </c>
      <c r="P667" s="1">
        <f t="shared" si="93"/>
        <v>17</v>
      </c>
      <c r="Q667" s="1">
        <f t="shared" si="94"/>
        <v>-11</v>
      </c>
      <c r="R667" s="6">
        <f t="shared" si="95"/>
        <v>0.48148148148148145</v>
      </c>
      <c r="S667" s="8">
        <f t="shared" si="96"/>
        <v>86.938279876558724</v>
      </c>
      <c r="T667" s="8">
        <f t="shared" si="97"/>
        <v>-8.9382798765587239</v>
      </c>
      <c r="U667" t="str">
        <f t="shared" si="98"/>
        <v>High</v>
      </c>
    </row>
    <row r="668" spans="1:21">
      <c r="A668" s="1">
        <v>153</v>
      </c>
      <c r="B668" s="2">
        <v>2022</v>
      </c>
      <c r="C668" s="1" t="s">
        <v>33</v>
      </c>
      <c r="D668" s="1" t="s">
        <v>34</v>
      </c>
      <c r="E668" s="1" t="s">
        <v>26</v>
      </c>
      <c r="F668" s="1" t="s">
        <v>35</v>
      </c>
      <c r="G668" s="10">
        <v>181660734</v>
      </c>
      <c r="H668" s="1">
        <v>81</v>
      </c>
      <c r="I668" s="1">
        <v>81</v>
      </c>
      <c r="J668" s="5">
        <v>28.4</v>
      </c>
      <c r="K668" s="1" t="s">
        <v>19</v>
      </c>
      <c r="L668" s="1" t="s">
        <v>19</v>
      </c>
      <c r="M668" s="10">
        <f t="shared" si="90"/>
        <v>6396504.7183098597</v>
      </c>
      <c r="N668" s="10">
        <f t="shared" si="91"/>
        <v>2242725.111111111</v>
      </c>
      <c r="O668" s="1">
        <f t="shared" si="92"/>
        <v>7</v>
      </c>
      <c r="P668" s="1">
        <f t="shared" si="93"/>
        <v>15</v>
      </c>
      <c r="Q668" s="1">
        <f t="shared" si="94"/>
        <v>-8</v>
      </c>
      <c r="R668" s="6">
        <f t="shared" si="95"/>
        <v>0.5</v>
      </c>
      <c r="S668" s="8">
        <f t="shared" si="96"/>
        <v>85.759201747396418</v>
      </c>
      <c r="T668" s="8">
        <f t="shared" si="97"/>
        <v>-4.7592017473964177</v>
      </c>
      <c r="U668" t="str">
        <f t="shared" si="98"/>
        <v>High</v>
      </c>
    </row>
    <row r="669" spans="1:21">
      <c r="A669" s="1">
        <v>49</v>
      </c>
      <c r="B669" s="2">
        <v>2022</v>
      </c>
      <c r="C669" s="1" t="s">
        <v>21</v>
      </c>
      <c r="D669" s="1" t="s">
        <v>22</v>
      </c>
      <c r="E669" s="1" t="s">
        <v>17</v>
      </c>
      <c r="F669" s="1" t="s">
        <v>23</v>
      </c>
      <c r="G669" s="10">
        <v>173935000</v>
      </c>
      <c r="H669" s="1">
        <v>101</v>
      </c>
      <c r="I669" s="1">
        <v>61</v>
      </c>
      <c r="J669" s="5">
        <v>48.1</v>
      </c>
      <c r="K669" s="1" t="s">
        <v>20</v>
      </c>
      <c r="L669" s="1" t="s">
        <v>19</v>
      </c>
      <c r="M669" s="10">
        <f t="shared" si="90"/>
        <v>3616112.2661122661</v>
      </c>
      <c r="N669" s="10">
        <f t="shared" si="91"/>
        <v>1722128.712871287</v>
      </c>
      <c r="O669" s="1">
        <f t="shared" si="92"/>
        <v>8</v>
      </c>
      <c r="P669" s="1">
        <f t="shared" si="93"/>
        <v>3</v>
      </c>
      <c r="Q669" s="1">
        <f t="shared" si="94"/>
        <v>5</v>
      </c>
      <c r="R669" s="6">
        <f t="shared" si="95"/>
        <v>0.62345679012345678</v>
      </c>
      <c r="S669" s="8">
        <f t="shared" si="96"/>
        <v>85.084706036528843</v>
      </c>
      <c r="T669" s="8">
        <f t="shared" si="97"/>
        <v>15.915293963471157</v>
      </c>
      <c r="U669" t="str">
        <f t="shared" si="98"/>
        <v>High</v>
      </c>
    </row>
    <row r="670" spans="1:21">
      <c r="A670" s="1">
        <v>335</v>
      </c>
      <c r="B670" s="2">
        <v>2022</v>
      </c>
      <c r="C670" s="1" t="s">
        <v>49</v>
      </c>
      <c r="D670" s="1" t="s">
        <v>50</v>
      </c>
      <c r="E670" s="1" t="s">
        <v>26</v>
      </c>
      <c r="F670" s="1" t="s">
        <v>46</v>
      </c>
      <c r="G670" s="10">
        <v>169413094</v>
      </c>
      <c r="H670" s="1">
        <v>73</v>
      </c>
      <c r="I670" s="1">
        <v>89</v>
      </c>
      <c r="J670" s="5">
        <v>31.4</v>
      </c>
      <c r="K670" s="1" t="s">
        <v>19</v>
      </c>
      <c r="L670" s="1" t="s">
        <v>19</v>
      </c>
      <c r="M670" s="10">
        <f t="shared" si="90"/>
        <v>5395321.4649681533</v>
      </c>
      <c r="N670" s="10">
        <f t="shared" si="91"/>
        <v>2320727.3150684931</v>
      </c>
      <c r="O670" s="1">
        <f t="shared" si="92"/>
        <v>9</v>
      </c>
      <c r="P670" s="1">
        <f t="shared" si="93"/>
        <v>21</v>
      </c>
      <c r="Q670" s="1">
        <f t="shared" si="94"/>
        <v>-12</v>
      </c>
      <c r="R670" s="6">
        <f t="shared" si="95"/>
        <v>0.45061728395061729</v>
      </c>
      <c r="S670" s="8">
        <f t="shared" si="96"/>
        <v>84.689920738206851</v>
      </c>
      <c r="T670" s="8">
        <f t="shared" si="97"/>
        <v>-11.689920738206851</v>
      </c>
      <c r="U670" t="str">
        <f t="shared" si="98"/>
        <v>High</v>
      </c>
    </row>
    <row r="671" spans="1:21">
      <c r="A671" s="1">
        <v>751</v>
      </c>
      <c r="B671" s="2">
        <v>2022</v>
      </c>
      <c r="C671" s="1" t="s">
        <v>81</v>
      </c>
      <c r="D671" s="1" t="s">
        <v>82</v>
      </c>
      <c r="E671" s="1" t="s">
        <v>26</v>
      </c>
      <c r="F671" s="1" t="s">
        <v>27</v>
      </c>
      <c r="G671" s="10">
        <v>164470905</v>
      </c>
      <c r="H671" s="1">
        <v>92</v>
      </c>
      <c r="I671" s="1">
        <v>70</v>
      </c>
      <c r="J671" s="5">
        <v>47.6</v>
      </c>
      <c r="K671" s="1" t="s">
        <v>20</v>
      </c>
      <c r="L671" s="1" t="s">
        <v>19</v>
      </c>
      <c r="M671" s="10">
        <f t="shared" si="90"/>
        <v>3455271.1134453779</v>
      </c>
      <c r="N671" s="10">
        <f t="shared" si="91"/>
        <v>1787727.2282608696</v>
      </c>
      <c r="O671" s="1">
        <f t="shared" si="92"/>
        <v>10</v>
      </c>
      <c r="P671" s="1">
        <f t="shared" si="93"/>
        <v>7</v>
      </c>
      <c r="Q671" s="1">
        <f t="shared" si="94"/>
        <v>3</v>
      </c>
      <c r="R671" s="6">
        <f t="shared" si="95"/>
        <v>0.5679012345679012</v>
      </c>
      <c r="S671" s="8">
        <f t="shared" si="96"/>
        <v>84.258442605152183</v>
      </c>
      <c r="T671" s="8">
        <f t="shared" si="97"/>
        <v>7.7415573948478169</v>
      </c>
      <c r="U671" t="str">
        <f t="shared" si="98"/>
        <v>High</v>
      </c>
    </row>
    <row r="672" spans="1:21">
      <c r="A672" s="1">
        <v>283</v>
      </c>
      <c r="B672" s="2">
        <v>2022</v>
      </c>
      <c r="C672" s="1" t="s">
        <v>44</v>
      </c>
      <c r="D672" s="1" t="s">
        <v>45</v>
      </c>
      <c r="E672" s="1" t="s">
        <v>26</v>
      </c>
      <c r="F672" s="1" t="s">
        <v>46</v>
      </c>
      <c r="G672" s="10">
        <v>163939599</v>
      </c>
      <c r="H672" s="1">
        <v>106</v>
      </c>
      <c r="I672" s="1">
        <v>56</v>
      </c>
      <c r="J672" s="5">
        <v>57.2</v>
      </c>
      <c r="K672" s="1" t="s">
        <v>20</v>
      </c>
      <c r="L672" s="1" t="s">
        <v>20</v>
      </c>
      <c r="M672" s="10">
        <f t="shared" si="90"/>
        <v>2866076.9055944053</v>
      </c>
      <c r="N672" s="10">
        <f t="shared" si="91"/>
        <v>1546599.9905660378</v>
      </c>
      <c r="O672" s="1">
        <f t="shared" si="92"/>
        <v>11</v>
      </c>
      <c r="P672" s="1">
        <f t="shared" si="93"/>
        <v>2</v>
      </c>
      <c r="Q672" s="1">
        <f t="shared" si="94"/>
        <v>9</v>
      </c>
      <c r="R672" s="6">
        <f t="shared" si="95"/>
        <v>0.65432098765432101</v>
      </c>
      <c r="S672" s="8">
        <f t="shared" si="96"/>
        <v>84.212056900161798</v>
      </c>
      <c r="T672" s="8">
        <f t="shared" si="97"/>
        <v>21.787943099838202</v>
      </c>
      <c r="U672" t="str">
        <f t="shared" si="98"/>
        <v>High</v>
      </c>
    </row>
    <row r="673" spans="1:21">
      <c r="A673" s="1">
        <v>673</v>
      </c>
      <c r="B673" s="2">
        <v>2022</v>
      </c>
      <c r="C673" s="1" t="s">
        <v>75</v>
      </c>
      <c r="D673" s="1" t="s">
        <v>76</v>
      </c>
      <c r="E673" s="1" t="s">
        <v>17</v>
      </c>
      <c r="F673" s="1" t="s">
        <v>32</v>
      </c>
      <c r="G673" s="10">
        <v>150746666</v>
      </c>
      <c r="H673" s="1">
        <v>93</v>
      </c>
      <c r="I673" s="1">
        <v>69</v>
      </c>
      <c r="J673" s="5">
        <v>48.7</v>
      </c>
      <c r="K673" s="1" t="s">
        <v>20</v>
      </c>
      <c r="L673" s="1" t="s">
        <v>19</v>
      </c>
      <c r="M673" s="10">
        <f t="shared" si="90"/>
        <v>3095414.0862422995</v>
      </c>
      <c r="N673" s="10">
        <f t="shared" si="91"/>
        <v>1620931.8924731184</v>
      </c>
      <c r="O673" s="1">
        <f t="shared" si="92"/>
        <v>12</v>
      </c>
      <c r="P673" s="1">
        <f t="shared" si="93"/>
        <v>6</v>
      </c>
      <c r="Q673" s="1">
        <f t="shared" si="94"/>
        <v>6</v>
      </c>
      <c r="R673" s="6">
        <f t="shared" si="95"/>
        <v>0.57407407407407407</v>
      </c>
      <c r="S673" s="8">
        <f t="shared" si="96"/>
        <v>83.060247023939908</v>
      </c>
      <c r="T673" s="8">
        <f t="shared" si="97"/>
        <v>9.9397529760600918</v>
      </c>
      <c r="U673" t="str">
        <f t="shared" si="98"/>
        <v>High</v>
      </c>
    </row>
    <row r="674" spans="1:21">
      <c r="A674" s="1">
        <v>621</v>
      </c>
      <c r="B674" s="2">
        <v>2022</v>
      </c>
      <c r="C674" s="1" t="s">
        <v>71</v>
      </c>
      <c r="D674" s="1" t="s">
        <v>72</v>
      </c>
      <c r="E674" s="1" t="s">
        <v>17</v>
      </c>
      <c r="F674" s="1" t="s">
        <v>18</v>
      </c>
      <c r="G674" s="10">
        <v>142292500</v>
      </c>
      <c r="H674" s="1">
        <v>81</v>
      </c>
      <c r="I674" s="1">
        <v>81</v>
      </c>
      <c r="J674" s="5">
        <v>33.4</v>
      </c>
      <c r="K674" s="1" t="s">
        <v>19</v>
      </c>
      <c r="L674" s="1" t="s">
        <v>19</v>
      </c>
      <c r="M674" s="10">
        <f t="shared" si="90"/>
        <v>4260254.4910179647</v>
      </c>
      <c r="N674" s="10">
        <f t="shared" si="91"/>
        <v>1756697.5308641975</v>
      </c>
      <c r="O674" s="1">
        <f t="shared" si="92"/>
        <v>13</v>
      </c>
      <c r="P674" s="1">
        <f t="shared" si="93"/>
        <v>15</v>
      </c>
      <c r="Q674" s="1">
        <f t="shared" si="94"/>
        <v>-2</v>
      </c>
      <c r="R674" s="6">
        <f t="shared" si="95"/>
        <v>0.5</v>
      </c>
      <c r="S674" s="8">
        <f t="shared" si="96"/>
        <v>82.322155509792196</v>
      </c>
      <c r="T674" s="8">
        <f t="shared" si="97"/>
        <v>-1.3221555097921964</v>
      </c>
      <c r="U674" t="str">
        <f t="shared" si="98"/>
        <v>Mid</v>
      </c>
    </row>
    <row r="675" spans="1:21">
      <c r="A675" s="1">
        <v>127</v>
      </c>
      <c r="B675" s="2">
        <v>2022</v>
      </c>
      <c r="C675" s="1" t="s">
        <v>30</v>
      </c>
      <c r="D675" s="1" t="s">
        <v>31</v>
      </c>
      <c r="E675" s="1" t="s">
        <v>17</v>
      </c>
      <c r="F675" s="1" t="s">
        <v>32</v>
      </c>
      <c r="G675" s="10">
        <v>141810000</v>
      </c>
      <c r="H675" s="1">
        <v>74</v>
      </c>
      <c r="I675" s="1">
        <v>88</v>
      </c>
      <c r="J675" s="5">
        <v>29.7</v>
      </c>
      <c r="K675" s="1" t="s">
        <v>19</v>
      </c>
      <c r="L675" s="1" t="s">
        <v>19</v>
      </c>
      <c r="M675" s="10">
        <f t="shared" si="90"/>
        <v>4774747.4747474752</v>
      </c>
      <c r="N675" s="10">
        <f t="shared" si="91"/>
        <v>1916351.3513513512</v>
      </c>
      <c r="O675" s="1">
        <f t="shared" si="92"/>
        <v>14</v>
      </c>
      <c r="P675" s="1">
        <f t="shared" si="93"/>
        <v>19</v>
      </c>
      <c r="Q675" s="1">
        <f t="shared" si="94"/>
        <v>-5</v>
      </c>
      <c r="R675" s="6">
        <f t="shared" si="95"/>
        <v>0.4567901234567901</v>
      </c>
      <c r="S675" s="8">
        <f t="shared" si="96"/>
        <v>82.280030815815721</v>
      </c>
      <c r="T675" s="8">
        <f t="shared" si="97"/>
        <v>-8.2800308158157208</v>
      </c>
      <c r="U675" t="str">
        <f t="shared" si="98"/>
        <v>Mid</v>
      </c>
    </row>
    <row r="676" spans="1:21">
      <c r="A676" s="1">
        <v>231</v>
      </c>
      <c r="B676" s="2">
        <v>2022</v>
      </c>
      <c r="C676" s="1" t="s">
        <v>40</v>
      </c>
      <c r="D676" s="1" t="s">
        <v>41</v>
      </c>
      <c r="E676" s="1" t="s">
        <v>17</v>
      </c>
      <c r="F676" s="1" t="s">
        <v>18</v>
      </c>
      <c r="G676" s="10">
        <v>137852166</v>
      </c>
      <c r="H676" s="1">
        <v>68</v>
      </c>
      <c r="I676" s="1">
        <v>94</v>
      </c>
      <c r="J676" s="5">
        <v>21.2</v>
      </c>
      <c r="K676" s="1" t="s">
        <v>19</v>
      </c>
      <c r="L676" s="1" t="s">
        <v>19</v>
      </c>
      <c r="M676" s="10">
        <f t="shared" si="90"/>
        <v>6502460.660377359</v>
      </c>
      <c r="N676" s="10">
        <f t="shared" si="91"/>
        <v>2027237.7352941176</v>
      </c>
      <c r="O676" s="1">
        <f t="shared" si="92"/>
        <v>15</v>
      </c>
      <c r="P676" s="1">
        <f t="shared" si="93"/>
        <v>23</v>
      </c>
      <c r="Q676" s="1">
        <f t="shared" si="94"/>
        <v>-8</v>
      </c>
      <c r="R676" s="6">
        <f t="shared" si="95"/>
        <v>0.41975308641975306</v>
      </c>
      <c r="S676" s="8">
        <f t="shared" si="96"/>
        <v>81.934491860251654</v>
      </c>
      <c r="T676" s="8">
        <f t="shared" si="97"/>
        <v>-13.934491860251654</v>
      </c>
      <c r="U676" t="str">
        <f t="shared" si="98"/>
        <v>Mid</v>
      </c>
    </row>
    <row r="677" spans="1:21">
      <c r="A677" s="1">
        <v>725</v>
      </c>
      <c r="B677" s="2">
        <v>2022</v>
      </c>
      <c r="C677" s="1" t="s">
        <v>79</v>
      </c>
      <c r="D677" s="1" t="s">
        <v>80</v>
      </c>
      <c r="E677" s="1" t="s">
        <v>26</v>
      </c>
      <c r="F677" s="1" t="s">
        <v>46</v>
      </c>
      <c r="G677" s="10">
        <v>134961333</v>
      </c>
      <c r="H677" s="1">
        <v>68</v>
      </c>
      <c r="I677" s="1">
        <v>94</v>
      </c>
      <c r="J677" s="5">
        <v>26.4</v>
      </c>
      <c r="K677" s="1" t="s">
        <v>19</v>
      </c>
      <c r="L677" s="1" t="s">
        <v>19</v>
      </c>
      <c r="M677" s="10">
        <f t="shared" si="90"/>
        <v>5112171.7045454551</v>
      </c>
      <c r="N677" s="10">
        <f t="shared" si="91"/>
        <v>1984725.4852941176</v>
      </c>
      <c r="O677" s="1">
        <f t="shared" si="92"/>
        <v>16</v>
      </c>
      <c r="P677" s="1">
        <f t="shared" si="93"/>
        <v>23</v>
      </c>
      <c r="Q677" s="1">
        <f t="shared" si="94"/>
        <v>-7</v>
      </c>
      <c r="R677" s="6">
        <f t="shared" si="95"/>
        <v>0.41975308641975306</v>
      </c>
      <c r="S677" s="8">
        <f t="shared" si="96"/>
        <v>81.68210749659967</v>
      </c>
      <c r="T677" s="8">
        <f t="shared" si="97"/>
        <v>-13.68210749659967</v>
      </c>
      <c r="U677" t="str">
        <f t="shared" si="98"/>
        <v>Mid</v>
      </c>
    </row>
    <row r="678" spans="1:21">
      <c r="A678" s="1">
        <v>439</v>
      </c>
      <c r="B678" s="2">
        <v>2022</v>
      </c>
      <c r="C678" s="1" t="s">
        <v>57</v>
      </c>
      <c r="D678" s="1" t="s">
        <v>58</v>
      </c>
      <c r="E678" s="1" t="s">
        <v>26</v>
      </c>
      <c r="F678" s="1" t="s">
        <v>35</v>
      </c>
      <c r="G678" s="10">
        <v>130984524</v>
      </c>
      <c r="H678" s="1">
        <v>78</v>
      </c>
      <c r="I678" s="1">
        <v>84</v>
      </c>
      <c r="J678" s="5">
        <v>33.9</v>
      </c>
      <c r="K678" s="1" t="s">
        <v>19</v>
      </c>
      <c r="L678" s="1" t="s">
        <v>19</v>
      </c>
      <c r="M678" s="10">
        <f t="shared" si="90"/>
        <v>3863850.2654867256</v>
      </c>
      <c r="N678" s="10">
        <f t="shared" si="91"/>
        <v>1679288.7692307692</v>
      </c>
      <c r="O678" s="1">
        <f t="shared" si="92"/>
        <v>17</v>
      </c>
      <c r="P678" s="1">
        <f t="shared" si="93"/>
        <v>17</v>
      </c>
      <c r="Q678" s="1">
        <f t="shared" si="94"/>
        <v>0</v>
      </c>
      <c r="R678" s="6">
        <f t="shared" si="95"/>
        <v>0.48148148148148145</v>
      </c>
      <c r="S678" s="8">
        <f t="shared" si="96"/>
        <v>81.334911927422738</v>
      </c>
      <c r="T678" s="8">
        <f t="shared" si="97"/>
        <v>-3.3349119274227377</v>
      </c>
      <c r="U678" t="str">
        <f t="shared" si="98"/>
        <v>Mid</v>
      </c>
    </row>
    <row r="679" spans="1:21">
      <c r="A679" s="1">
        <v>257</v>
      </c>
      <c r="B679" s="2">
        <v>2022</v>
      </c>
      <c r="C679" s="1" t="s">
        <v>42</v>
      </c>
      <c r="D679" s="1" t="s">
        <v>43</v>
      </c>
      <c r="E679" s="1" t="s">
        <v>26</v>
      </c>
      <c r="F679" s="1" t="s">
        <v>35</v>
      </c>
      <c r="G679" s="10">
        <v>128640000</v>
      </c>
      <c r="H679" s="1">
        <v>66</v>
      </c>
      <c r="I679" s="1">
        <v>96</v>
      </c>
      <c r="J679" s="5">
        <v>21.5</v>
      </c>
      <c r="K679" s="1" t="s">
        <v>19</v>
      </c>
      <c r="L679" s="1" t="s">
        <v>19</v>
      </c>
      <c r="M679" s="10">
        <f t="shared" si="90"/>
        <v>5983255.8139534881</v>
      </c>
      <c r="N679" s="10">
        <f t="shared" si="91"/>
        <v>1949090.9090909092</v>
      </c>
      <c r="O679" s="1">
        <f t="shared" si="92"/>
        <v>18</v>
      </c>
      <c r="P679" s="1">
        <f t="shared" si="93"/>
        <v>25</v>
      </c>
      <c r="Q679" s="1">
        <f t="shared" si="94"/>
        <v>-7</v>
      </c>
      <c r="R679" s="6">
        <f t="shared" si="95"/>
        <v>0.40740740740740738</v>
      </c>
      <c r="S679" s="8">
        <f t="shared" si="96"/>
        <v>81.130223106654896</v>
      </c>
      <c r="T679" s="8">
        <f t="shared" si="97"/>
        <v>-15.130223106654896</v>
      </c>
      <c r="U679" t="str">
        <f t="shared" si="98"/>
        <v>Mid</v>
      </c>
    </row>
    <row r="680" spans="1:21">
      <c r="A680" s="1">
        <v>413</v>
      </c>
      <c r="B680" s="2">
        <v>2022</v>
      </c>
      <c r="C680" s="1" t="s">
        <v>55</v>
      </c>
      <c r="D680" s="1" t="s">
        <v>56</v>
      </c>
      <c r="E680" s="1" t="s">
        <v>17</v>
      </c>
      <c r="F680" s="1" t="s">
        <v>32</v>
      </c>
      <c r="G680" s="10">
        <v>128581128</v>
      </c>
      <c r="H680" s="1">
        <v>86</v>
      </c>
      <c r="I680" s="1">
        <v>76</v>
      </c>
      <c r="J680" s="5">
        <v>37.799999999999997</v>
      </c>
      <c r="K680" s="1" t="s">
        <v>19</v>
      </c>
      <c r="L680" s="1" t="s">
        <v>19</v>
      </c>
      <c r="M680" s="10">
        <f t="shared" si="90"/>
        <v>3401617.1428571432</v>
      </c>
      <c r="N680" s="10">
        <f t="shared" si="91"/>
        <v>1495129.3953488371</v>
      </c>
      <c r="O680" s="1">
        <f t="shared" si="92"/>
        <v>19</v>
      </c>
      <c r="P680" s="1">
        <f t="shared" si="93"/>
        <v>12</v>
      </c>
      <c r="Q680" s="1">
        <f t="shared" si="94"/>
        <v>7</v>
      </c>
      <c r="R680" s="6">
        <f t="shared" si="95"/>
        <v>0.53086419753086422</v>
      </c>
      <c r="S680" s="8">
        <f t="shared" si="96"/>
        <v>81.125083282854305</v>
      </c>
      <c r="T680" s="8">
        <f t="shared" si="97"/>
        <v>4.8749167171456946</v>
      </c>
      <c r="U680" t="str">
        <f t="shared" si="98"/>
        <v>Mid</v>
      </c>
    </row>
    <row r="681" spans="1:21">
      <c r="A681" s="1">
        <v>777</v>
      </c>
      <c r="B681" s="2">
        <v>2022</v>
      </c>
      <c r="C681" s="1" t="s">
        <v>83</v>
      </c>
      <c r="D681" s="1" t="s">
        <v>84</v>
      </c>
      <c r="E681" s="1" t="s">
        <v>17</v>
      </c>
      <c r="F681" s="1" t="s">
        <v>23</v>
      </c>
      <c r="G681" s="10">
        <v>114623095</v>
      </c>
      <c r="H681" s="1">
        <v>55</v>
      </c>
      <c r="I681" s="1">
        <v>107</v>
      </c>
      <c r="J681" s="5">
        <v>10.199999999999999</v>
      </c>
      <c r="K681" s="1" t="s">
        <v>19</v>
      </c>
      <c r="L681" s="1" t="s">
        <v>19</v>
      </c>
      <c r="M681" s="10">
        <f t="shared" si="90"/>
        <v>11237558.333333334</v>
      </c>
      <c r="N681" s="10">
        <f t="shared" si="91"/>
        <v>2084056.2727272727</v>
      </c>
      <c r="O681" s="1">
        <f t="shared" si="92"/>
        <v>20</v>
      </c>
      <c r="P681" s="1">
        <f t="shared" si="93"/>
        <v>30</v>
      </c>
      <c r="Q681" s="1">
        <f t="shared" si="94"/>
        <v>-10</v>
      </c>
      <c r="R681" s="6">
        <f t="shared" si="95"/>
        <v>0.33950617283950618</v>
      </c>
      <c r="S681" s="8">
        <f t="shared" si="96"/>
        <v>79.906476301220195</v>
      </c>
      <c r="T681" s="8">
        <f t="shared" si="97"/>
        <v>-24.906476301220195</v>
      </c>
      <c r="U681" t="str">
        <f t="shared" si="98"/>
        <v>Mid</v>
      </c>
    </row>
    <row r="682" spans="1:21">
      <c r="A682" s="1">
        <v>179</v>
      </c>
      <c r="B682" s="2">
        <v>2022</v>
      </c>
      <c r="C682" s="1" t="s">
        <v>36</v>
      </c>
      <c r="D682" s="1" t="s">
        <v>37</v>
      </c>
      <c r="E682" s="1" t="s">
        <v>17</v>
      </c>
      <c r="F682" s="1" t="s">
        <v>32</v>
      </c>
      <c r="G682" s="10">
        <v>113580000</v>
      </c>
      <c r="H682" s="1">
        <v>62</v>
      </c>
      <c r="I682" s="1">
        <v>100</v>
      </c>
      <c r="J682" s="5">
        <v>14.2</v>
      </c>
      <c r="K682" s="1" t="s">
        <v>19</v>
      </c>
      <c r="L682" s="1" t="s">
        <v>19</v>
      </c>
      <c r="M682" s="10">
        <f t="shared" si="90"/>
        <v>7998591.5492957747</v>
      </c>
      <c r="N682" s="10">
        <f t="shared" si="91"/>
        <v>1831935.4838709678</v>
      </c>
      <c r="O682" s="1">
        <f t="shared" si="92"/>
        <v>21</v>
      </c>
      <c r="P682" s="1">
        <f t="shared" si="93"/>
        <v>27</v>
      </c>
      <c r="Q682" s="1">
        <f t="shared" si="94"/>
        <v>-6</v>
      </c>
      <c r="R682" s="6">
        <f t="shared" si="95"/>
        <v>0.38271604938271603</v>
      </c>
      <c r="S682" s="8">
        <f t="shared" si="96"/>
        <v>79.815408824197632</v>
      </c>
      <c r="T682" s="8">
        <f t="shared" si="97"/>
        <v>-17.815408824197632</v>
      </c>
      <c r="U682" t="str">
        <f t="shared" si="98"/>
        <v>Mid</v>
      </c>
    </row>
    <row r="683" spans="1:21">
      <c r="A683" s="1">
        <v>647</v>
      </c>
      <c r="B683" s="2">
        <v>2022</v>
      </c>
      <c r="C683" s="1" t="s">
        <v>73</v>
      </c>
      <c r="D683" s="1" t="s">
        <v>74</v>
      </c>
      <c r="E683" s="1" t="s">
        <v>26</v>
      </c>
      <c r="F683" s="1" t="s">
        <v>46</v>
      </c>
      <c r="G683" s="10">
        <v>92745714</v>
      </c>
      <c r="H683" s="1">
        <v>90</v>
      </c>
      <c r="I683" s="1">
        <v>72</v>
      </c>
      <c r="J683" s="5">
        <v>43.7</v>
      </c>
      <c r="K683" s="1" t="s">
        <v>20</v>
      </c>
      <c r="L683" s="1" t="s">
        <v>19</v>
      </c>
      <c r="M683" s="10">
        <f t="shared" si="90"/>
        <v>2122327.5514874142</v>
      </c>
      <c r="N683" s="10">
        <f t="shared" si="91"/>
        <v>1030507.9333333333</v>
      </c>
      <c r="O683" s="1">
        <f t="shared" si="92"/>
        <v>22</v>
      </c>
      <c r="P683" s="1">
        <f t="shared" si="93"/>
        <v>9</v>
      </c>
      <c r="Q683" s="1">
        <f t="shared" si="94"/>
        <v>13</v>
      </c>
      <c r="R683" s="6">
        <f t="shared" si="95"/>
        <v>0.55555555555555558</v>
      </c>
      <c r="S683" s="8">
        <f t="shared" si="96"/>
        <v>77.996470125817865</v>
      </c>
      <c r="T683" s="8">
        <f t="shared" si="97"/>
        <v>12.003529874182135</v>
      </c>
      <c r="U683" t="str">
        <f t="shared" si="98"/>
        <v>Mid</v>
      </c>
    </row>
    <row r="684" spans="1:21">
      <c r="A684" s="1">
        <v>23</v>
      </c>
      <c r="B684" s="2">
        <v>2022</v>
      </c>
      <c r="C684" s="1" t="s">
        <v>15</v>
      </c>
      <c r="D684" s="1" t="s">
        <v>16</v>
      </c>
      <c r="E684" s="1" t="s">
        <v>17</v>
      </c>
      <c r="F684" s="1" t="s">
        <v>18</v>
      </c>
      <c r="G684" s="10">
        <v>87178829</v>
      </c>
      <c r="H684" s="1">
        <v>74</v>
      </c>
      <c r="I684" s="1">
        <v>88</v>
      </c>
      <c r="J684" s="5">
        <v>32.799999999999997</v>
      </c>
      <c r="K684" s="1" t="s">
        <v>19</v>
      </c>
      <c r="L684" s="1" t="s">
        <v>19</v>
      </c>
      <c r="M684" s="10">
        <f t="shared" si="90"/>
        <v>2657891.1280487808</v>
      </c>
      <c r="N684" s="10">
        <f t="shared" si="91"/>
        <v>1178092.2837837837</v>
      </c>
      <c r="O684" s="1">
        <f t="shared" si="92"/>
        <v>23</v>
      </c>
      <c r="P684" s="1">
        <f t="shared" si="93"/>
        <v>19</v>
      </c>
      <c r="Q684" s="1">
        <f t="shared" si="94"/>
        <v>4</v>
      </c>
      <c r="R684" s="6">
        <f t="shared" si="95"/>
        <v>0.4567901234567901</v>
      </c>
      <c r="S684" s="8">
        <f t="shared" si="96"/>
        <v>77.510452867730407</v>
      </c>
      <c r="T684" s="8">
        <f t="shared" si="97"/>
        <v>-3.5104528677304074</v>
      </c>
      <c r="U684" t="str">
        <f t="shared" si="98"/>
        <v>Mid</v>
      </c>
    </row>
    <row r="685" spans="1:21">
      <c r="A685" s="1">
        <v>309</v>
      </c>
      <c r="B685" s="2">
        <v>2022</v>
      </c>
      <c r="C685" s="1" t="s">
        <v>47</v>
      </c>
      <c r="D685" s="1" t="s">
        <v>48</v>
      </c>
      <c r="E685" s="1" t="s">
        <v>26</v>
      </c>
      <c r="F685" s="1" t="s">
        <v>35</v>
      </c>
      <c r="G685" s="10">
        <v>84610000</v>
      </c>
      <c r="H685" s="1">
        <v>65</v>
      </c>
      <c r="I685" s="1">
        <v>97</v>
      </c>
      <c r="J685" s="5">
        <v>21.5</v>
      </c>
      <c r="K685" s="1" t="s">
        <v>19</v>
      </c>
      <c r="L685" s="1" t="s">
        <v>19</v>
      </c>
      <c r="M685" s="10">
        <f t="shared" si="90"/>
        <v>3935348.8372093025</v>
      </c>
      <c r="N685" s="10">
        <f t="shared" si="91"/>
        <v>1301692.3076923077</v>
      </c>
      <c r="O685" s="1">
        <f t="shared" si="92"/>
        <v>24</v>
      </c>
      <c r="P685" s="1">
        <f t="shared" si="93"/>
        <v>26</v>
      </c>
      <c r="Q685" s="1">
        <f t="shared" si="94"/>
        <v>-2</v>
      </c>
      <c r="R685" s="6">
        <f t="shared" si="95"/>
        <v>0.40123456790123457</v>
      </c>
      <c r="S685" s="8">
        <f t="shared" si="96"/>
        <v>77.286181084304744</v>
      </c>
      <c r="T685" s="8">
        <f t="shared" si="97"/>
        <v>-12.286181084304744</v>
      </c>
      <c r="U685" t="str">
        <f t="shared" si="98"/>
        <v>Mid</v>
      </c>
    </row>
    <row r="686" spans="1:21">
      <c r="A686" s="1">
        <v>387</v>
      </c>
      <c r="B686" s="2">
        <v>2022</v>
      </c>
      <c r="C686" s="1" t="s">
        <v>53</v>
      </c>
      <c r="D686" s="1" t="s">
        <v>54</v>
      </c>
      <c r="E686" s="1" t="s">
        <v>17</v>
      </c>
      <c r="F686" s="1" t="s">
        <v>23</v>
      </c>
      <c r="G686" s="10">
        <v>83333568</v>
      </c>
      <c r="H686" s="1">
        <v>69</v>
      </c>
      <c r="I686" s="1">
        <v>93</v>
      </c>
      <c r="J686" s="5">
        <v>31.7</v>
      </c>
      <c r="K686" s="1" t="s">
        <v>19</v>
      </c>
      <c r="L686" s="1" t="s">
        <v>19</v>
      </c>
      <c r="M686" s="10">
        <f t="shared" si="90"/>
        <v>2628819.1798107256</v>
      </c>
      <c r="N686" s="10">
        <f t="shared" si="91"/>
        <v>1207732.8695652173</v>
      </c>
      <c r="O686" s="1">
        <f t="shared" si="92"/>
        <v>25</v>
      </c>
      <c r="P686" s="1">
        <f t="shared" si="93"/>
        <v>22</v>
      </c>
      <c r="Q686" s="1">
        <f t="shared" si="94"/>
        <v>3</v>
      </c>
      <c r="R686" s="6">
        <f t="shared" si="95"/>
        <v>0.42592592592592593</v>
      </c>
      <c r="S686" s="8">
        <f t="shared" si="96"/>
        <v>77.174742105275158</v>
      </c>
      <c r="T686" s="8">
        <f t="shared" si="97"/>
        <v>-8.1747421052751577</v>
      </c>
      <c r="U686" t="str">
        <f t="shared" si="98"/>
        <v>Mid</v>
      </c>
    </row>
    <row r="687" spans="1:21">
      <c r="A687" s="1">
        <v>699</v>
      </c>
      <c r="B687" s="2">
        <v>2022</v>
      </c>
      <c r="C687" s="1" t="s">
        <v>77</v>
      </c>
      <c r="D687" s="1" t="s">
        <v>78</v>
      </c>
      <c r="E687" s="1" t="s">
        <v>26</v>
      </c>
      <c r="F687" s="1" t="s">
        <v>27</v>
      </c>
      <c r="G687" s="10">
        <v>75347813</v>
      </c>
      <c r="H687" s="1">
        <v>86</v>
      </c>
      <c r="I687" s="1">
        <v>76</v>
      </c>
      <c r="J687" s="5">
        <v>44.1</v>
      </c>
      <c r="K687" s="1" t="s">
        <v>20</v>
      </c>
      <c r="L687" s="1" t="s">
        <v>19</v>
      </c>
      <c r="M687" s="10">
        <f t="shared" si="90"/>
        <v>1708567.1882086168</v>
      </c>
      <c r="N687" s="10">
        <f t="shared" si="91"/>
        <v>876137.36046511633</v>
      </c>
      <c r="O687" s="1">
        <f t="shared" si="92"/>
        <v>26</v>
      </c>
      <c r="P687" s="1">
        <f t="shared" si="93"/>
        <v>12</v>
      </c>
      <c r="Q687" s="1">
        <f t="shared" si="94"/>
        <v>14</v>
      </c>
      <c r="R687" s="6">
        <f t="shared" si="95"/>
        <v>0.53086419753086422</v>
      </c>
      <c r="S687" s="8">
        <f t="shared" si="96"/>
        <v>76.477545244039803</v>
      </c>
      <c r="T687" s="8">
        <f t="shared" si="97"/>
        <v>9.5224547559601973</v>
      </c>
      <c r="U687" t="str">
        <f t="shared" si="98"/>
        <v>Low</v>
      </c>
    </row>
    <row r="688" spans="1:21">
      <c r="A688" s="1">
        <v>205</v>
      </c>
      <c r="B688" s="2">
        <v>2022</v>
      </c>
      <c r="C688" s="1" t="s">
        <v>38</v>
      </c>
      <c r="D688" s="1" t="s">
        <v>39</v>
      </c>
      <c r="E688" s="1" t="s">
        <v>26</v>
      </c>
      <c r="F688" s="1" t="s">
        <v>35</v>
      </c>
      <c r="G688" s="10">
        <v>67827391</v>
      </c>
      <c r="H688" s="1">
        <v>92</v>
      </c>
      <c r="I688" s="1">
        <v>70</v>
      </c>
      <c r="J688" s="5">
        <v>44.9</v>
      </c>
      <c r="K688" s="1" t="s">
        <v>20</v>
      </c>
      <c r="L688" s="1" t="s">
        <v>19</v>
      </c>
      <c r="M688" s="10">
        <f t="shared" si="90"/>
        <v>1510632.316258352</v>
      </c>
      <c r="N688" s="10">
        <f t="shared" si="91"/>
        <v>737254.25</v>
      </c>
      <c r="O688" s="1">
        <f t="shared" si="92"/>
        <v>27</v>
      </c>
      <c r="P688" s="1">
        <f t="shared" si="93"/>
        <v>7</v>
      </c>
      <c r="Q688" s="1">
        <f t="shared" si="94"/>
        <v>20</v>
      </c>
      <c r="R688" s="6">
        <f t="shared" si="95"/>
        <v>0.5679012345679012</v>
      </c>
      <c r="S688" s="8">
        <f t="shared" si="96"/>
        <v>75.820974310726015</v>
      </c>
      <c r="T688" s="8">
        <f t="shared" si="97"/>
        <v>16.179025689273985</v>
      </c>
      <c r="U688" t="str">
        <f t="shared" si="98"/>
        <v>Low</v>
      </c>
    </row>
    <row r="689" spans="1:21">
      <c r="A689" s="1">
        <v>569</v>
      </c>
      <c r="B689" s="2">
        <v>2022</v>
      </c>
      <c r="C689" s="1" t="s">
        <v>67</v>
      </c>
      <c r="D689" s="1" t="s">
        <v>68</v>
      </c>
      <c r="E689" s="1" t="s">
        <v>17</v>
      </c>
      <c r="F689" s="1" t="s">
        <v>32</v>
      </c>
      <c r="G689" s="10">
        <v>66069163</v>
      </c>
      <c r="H689" s="1">
        <v>62</v>
      </c>
      <c r="I689" s="1">
        <v>100</v>
      </c>
      <c r="J689" s="5">
        <v>18.600000000000001</v>
      </c>
      <c r="K689" s="1" t="s">
        <v>19</v>
      </c>
      <c r="L689" s="1" t="s">
        <v>19</v>
      </c>
      <c r="M689" s="10">
        <f t="shared" si="90"/>
        <v>3552105.5376344081</v>
      </c>
      <c r="N689" s="10">
        <f t="shared" si="91"/>
        <v>1065631.6612903227</v>
      </c>
      <c r="O689" s="1">
        <f t="shared" si="92"/>
        <v>28</v>
      </c>
      <c r="P689" s="1">
        <f t="shared" si="93"/>
        <v>27</v>
      </c>
      <c r="Q689" s="1">
        <f t="shared" si="94"/>
        <v>1</v>
      </c>
      <c r="R689" s="6">
        <f t="shared" si="95"/>
        <v>0.38271604938271603</v>
      </c>
      <c r="S689" s="8">
        <f t="shared" si="96"/>
        <v>75.667472100485881</v>
      </c>
      <c r="T689" s="8">
        <f t="shared" si="97"/>
        <v>-13.667472100485881</v>
      </c>
      <c r="U689" t="str">
        <f t="shared" si="98"/>
        <v>Low</v>
      </c>
    </row>
    <row r="690" spans="1:21">
      <c r="A690" s="1">
        <v>517</v>
      </c>
      <c r="B690" s="2">
        <v>2022</v>
      </c>
      <c r="C690" s="1" t="s">
        <v>63</v>
      </c>
      <c r="D690" s="1" t="s">
        <v>64</v>
      </c>
      <c r="E690" s="1" t="s">
        <v>26</v>
      </c>
      <c r="F690" s="1" t="s">
        <v>46</v>
      </c>
      <c r="G690" s="10">
        <v>45512854</v>
      </c>
      <c r="H690" s="1">
        <v>60</v>
      </c>
      <c r="I690" s="1">
        <v>102</v>
      </c>
      <c r="J690" s="5">
        <v>15.7</v>
      </c>
      <c r="K690" s="1" t="s">
        <v>19</v>
      </c>
      <c r="L690" s="1" t="s">
        <v>19</v>
      </c>
      <c r="M690" s="10">
        <f t="shared" si="90"/>
        <v>2898907.8980891723</v>
      </c>
      <c r="N690" s="10">
        <f t="shared" si="91"/>
        <v>758547.56666666665</v>
      </c>
      <c r="O690" s="1">
        <f t="shared" si="92"/>
        <v>29</v>
      </c>
      <c r="P690" s="1">
        <f t="shared" si="93"/>
        <v>29</v>
      </c>
      <c r="Q690" s="1">
        <f t="shared" si="94"/>
        <v>0</v>
      </c>
      <c r="R690" s="6">
        <f t="shared" si="95"/>
        <v>0.37037037037037035</v>
      </c>
      <c r="S690" s="8">
        <f t="shared" si="96"/>
        <v>73.872802202225273</v>
      </c>
      <c r="T690" s="8">
        <f t="shared" si="97"/>
        <v>-13.872802202225273</v>
      </c>
      <c r="U690" t="str">
        <f t="shared" si="98"/>
        <v>Low</v>
      </c>
    </row>
    <row r="691" spans="1:21">
      <c r="A691" s="1">
        <v>75</v>
      </c>
      <c r="B691" s="2">
        <v>2022</v>
      </c>
      <c r="C691" s="1" t="s">
        <v>24</v>
      </c>
      <c r="D691" s="1" t="s">
        <v>25</v>
      </c>
      <c r="E691" s="1" t="s">
        <v>26</v>
      </c>
      <c r="F691" s="1" t="s">
        <v>27</v>
      </c>
      <c r="G691" s="10">
        <v>43645896</v>
      </c>
      <c r="H691" s="1">
        <v>83</v>
      </c>
      <c r="I691" s="1">
        <v>79</v>
      </c>
      <c r="J691" s="5">
        <v>36.6</v>
      </c>
      <c r="K691" s="1" t="s">
        <v>19</v>
      </c>
      <c r="L691" s="1" t="s">
        <v>19</v>
      </c>
      <c r="M691" s="10">
        <f t="shared" si="90"/>
        <v>1192510.8196721312</v>
      </c>
      <c r="N691" s="10">
        <f t="shared" si="91"/>
        <v>525854.1686746988</v>
      </c>
      <c r="O691" s="1">
        <f t="shared" si="92"/>
        <v>30</v>
      </c>
      <c r="P691" s="1">
        <f t="shared" si="93"/>
        <v>14</v>
      </c>
      <c r="Q691" s="1">
        <f t="shared" si="94"/>
        <v>16</v>
      </c>
      <c r="R691" s="6">
        <f t="shared" si="95"/>
        <v>0.51234567901234573</v>
      </c>
      <c r="S691" s="8">
        <f t="shared" si="96"/>
        <v>73.70980731224202</v>
      </c>
      <c r="T691" s="8">
        <f t="shared" si="97"/>
        <v>9.2901926877579797</v>
      </c>
      <c r="U691" t="str">
        <f t="shared" si="98"/>
        <v>Low</v>
      </c>
    </row>
    <row r="692" spans="1:21">
      <c r="A692" s="1">
        <v>466</v>
      </c>
      <c r="B692" s="2">
        <v>2023</v>
      </c>
      <c r="C692" s="1" t="s">
        <v>59</v>
      </c>
      <c r="D692" s="1" t="s">
        <v>60</v>
      </c>
      <c r="E692" s="1" t="s">
        <v>17</v>
      </c>
      <c r="F692" s="1" t="s">
        <v>23</v>
      </c>
      <c r="G692" s="10">
        <v>355436854</v>
      </c>
      <c r="H692" s="1">
        <v>75</v>
      </c>
      <c r="I692" s="1">
        <v>87</v>
      </c>
      <c r="J692" s="5">
        <v>31.3</v>
      </c>
      <c r="K692" s="1" t="s">
        <v>19</v>
      </c>
      <c r="L692" s="1" t="s">
        <v>19</v>
      </c>
      <c r="M692" s="10">
        <f t="shared" si="90"/>
        <v>11355810.031948881</v>
      </c>
      <c r="N692" s="10">
        <f t="shared" si="91"/>
        <v>4739158.0533333337</v>
      </c>
      <c r="O692" s="1">
        <f t="shared" si="92"/>
        <v>1</v>
      </c>
      <c r="P692" s="1">
        <f t="shared" si="93"/>
        <v>23</v>
      </c>
      <c r="Q692" s="1">
        <f t="shared" si="94"/>
        <v>-22</v>
      </c>
      <c r="R692" s="6">
        <f t="shared" si="95"/>
        <v>0.46296296296296297</v>
      </c>
      <c r="S692" s="8">
        <f t="shared" si="96"/>
        <v>100.93073724049115</v>
      </c>
      <c r="T692" s="8">
        <f t="shared" si="97"/>
        <v>-25.930737240491155</v>
      </c>
      <c r="U692" t="str">
        <f t="shared" si="98"/>
        <v>High</v>
      </c>
    </row>
    <row r="693" spans="1:21">
      <c r="A693" s="1">
        <v>492</v>
      </c>
      <c r="B693" s="2">
        <v>2023</v>
      </c>
      <c r="C693" s="1" t="s">
        <v>61</v>
      </c>
      <c r="D693" s="1" t="s">
        <v>62</v>
      </c>
      <c r="E693" s="1" t="s">
        <v>26</v>
      </c>
      <c r="F693" s="1" t="s">
        <v>27</v>
      </c>
      <c r="G693" s="10">
        <v>275249873</v>
      </c>
      <c r="H693" s="1">
        <v>82</v>
      </c>
      <c r="I693" s="1">
        <v>80</v>
      </c>
      <c r="J693" s="5">
        <v>38.9</v>
      </c>
      <c r="K693" s="1" t="s">
        <v>19</v>
      </c>
      <c r="L693" s="1" t="s">
        <v>19</v>
      </c>
      <c r="M693" s="10">
        <f t="shared" si="90"/>
        <v>7075832.210796915</v>
      </c>
      <c r="N693" s="10">
        <f t="shared" si="91"/>
        <v>3356705.7682926827</v>
      </c>
      <c r="O693" s="1">
        <f t="shared" si="92"/>
        <v>2</v>
      </c>
      <c r="P693" s="1">
        <f t="shared" si="93"/>
        <v>15</v>
      </c>
      <c r="Q693" s="1">
        <f t="shared" si="94"/>
        <v>-13</v>
      </c>
      <c r="R693" s="6">
        <f t="shared" si="95"/>
        <v>0.50617283950617287</v>
      </c>
      <c r="S693" s="8">
        <f t="shared" si="96"/>
        <v>93.93000763319175</v>
      </c>
      <c r="T693" s="8">
        <f t="shared" si="97"/>
        <v>-11.93000763319175</v>
      </c>
      <c r="U693" t="str">
        <f t="shared" si="98"/>
        <v>High</v>
      </c>
    </row>
    <row r="694" spans="1:21">
      <c r="A694" s="1">
        <v>596</v>
      </c>
      <c r="B694" s="2">
        <v>2023</v>
      </c>
      <c r="C694" s="1" t="s">
        <v>69</v>
      </c>
      <c r="D694" s="1" t="s">
        <v>70</v>
      </c>
      <c r="E694" s="1" t="s">
        <v>17</v>
      </c>
      <c r="F694" s="1" t="s">
        <v>18</v>
      </c>
      <c r="G694" s="10">
        <v>257610217</v>
      </c>
      <c r="H694" s="1">
        <v>82</v>
      </c>
      <c r="I694" s="1">
        <v>80</v>
      </c>
      <c r="J694" s="5">
        <v>44.1</v>
      </c>
      <c r="K694" s="1" t="s">
        <v>19</v>
      </c>
      <c r="L694" s="1" t="s">
        <v>19</v>
      </c>
      <c r="M694" s="10">
        <f t="shared" si="90"/>
        <v>5841501.5192743763</v>
      </c>
      <c r="N694" s="10">
        <f t="shared" si="91"/>
        <v>3141588.012195122</v>
      </c>
      <c r="O694" s="1">
        <f t="shared" si="92"/>
        <v>3</v>
      </c>
      <c r="P694" s="1">
        <f t="shared" si="93"/>
        <v>15</v>
      </c>
      <c r="Q694" s="1">
        <f t="shared" si="94"/>
        <v>-12</v>
      </c>
      <c r="R694" s="6">
        <f t="shared" si="95"/>
        <v>0.50617283950617287</v>
      </c>
      <c r="S694" s="8">
        <f t="shared" si="96"/>
        <v>92.38997631536752</v>
      </c>
      <c r="T694" s="8">
        <f t="shared" si="97"/>
        <v>-10.38997631536752</v>
      </c>
      <c r="U694" t="str">
        <f t="shared" si="98"/>
        <v>High</v>
      </c>
    </row>
    <row r="695" spans="1:21">
      <c r="A695" s="1">
        <v>544</v>
      </c>
      <c r="B695" s="2">
        <v>2023</v>
      </c>
      <c r="C695" s="1" t="s">
        <v>65</v>
      </c>
      <c r="D695" s="1" t="s">
        <v>66</v>
      </c>
      <c r="E695" s="1" t="s">
        <v>17</v>
      </c>
      <c r="F695" s="1" t="s">
        <v>23</v>
      </c>
      <c r="G695" s="10">
        <v>236260439</v>
      </c>
      <c r="H695" s="1">
        <v>90</v>
      </c>
      <c r="I695" s="1">
        <v>72</v>
      </c>
      <c r="J695" s="5">
        <v>45.5</v>
      </c>
      <c r="K695" s="1" t="s">
        <v>20</v>
      </c>
      <c r="L695" s="1" t="s">
        <v>19</v>
      </c>
      <c r="M695" s="10">
        <f t="shared" si="90"/>
        <v>5192537.1208791211</v>
      </c>
      <c r="N695" s="10">
        <f t="shared" si="91"/>
        <v>2625115.9888888891</v>
      </c>
      <c r="O695" s="1">
        <f t="shared" si="92"/>
        <v>4</v>
      </c>
      <c r="P695" s="1">
        <f t="shared" si="93"/>
        <v>6</v>
      </c>
      <c r="Q695" s="1">
        <f t="shared" si="94"/>
        <v>-2</v>
      </c>
      <c r="R695" s="6">
        <f t="shared" si="95"/>
        <v>0.55555555555555558</v>
      </c>
      <c r="S695" s="8">
        <f t="shared" si="96"/>
        <v>90.526032554299007</v>
      </c>
      <c r="T695" s="8">
        <f t="shared" si="97"/>
        <v>-0.52603255429900742</v>
      </c>
      <c r="U695" t="str">
        <f t="shared" si="98"/>
        <v>High</v>
      </c>
    </row>
    <row r="696" spans="1:21">
      <c r="A696" s="1">
        <v>362</v>
      </c>
      <c r="B696" s="2">
        <v>2023</v>
      </c>
      <c r="C696" s="1" t="s">
        <v>51</v>
      </c>
      <c r="D696" s="1" t="s">
        <v>52</v>
      </c>
      <c r="E696" s="1" t="s">
        <v>17</v>
      </c>
      <c r="F696" s="1" t="s">
        <v>18</v>
      </c>
      <c r="G696" s="10">
        <v>221759500</v>
      </c>
      <c r="H696" s="1">
        <v>100</v>
      </c>
      <c r="I696" s="1">
        <v>62</v>
      </c>
      <c r="J696" s="5">
        <v>44.9</v>
      </c>
      <c r="K696" s="1" t="s">
        <v>20</v>
      </c>
      <c r="L696" s="1" t="s">
        <v>19</v>
      </c>
      <c r="M696" s="10">
        <f t="shared" si="90"/>
        <v>4938964.3652561251</v>
      </c>
      <c r="N696" s="10">
        <f t="shared" si="91"/>
        <v>2217595</v>
      </c>
      <c r="O696" s="1">
        <f t="shared" si="92"/>
        <v>5</v>
      </c>
      <c r="P696" s="1">
        <f t="shared" si="93"/>
        <v>3</v>
      </c>
      <c r="Q696" s="1">
        <f t="shared" si="94"/>
        <v>2</v>
      </c>
      <c r="R696" s="6">
        <f t="shared" si="95"/>
        <v>0.61728395061728392</v>
      </c>
      <c r="S696" s="8">
        <f t="shared" si="96"/>
        <v>89.260027128917756</v>
      </c>
      <c r="T696" s="8">
        <f t="shared" si="97"/>
        <v>10.739972871082244</v>
      </c>
      <c r="U696" t="str">
        <f t="shared" si="98"/>
        <v>High</v>
      </c>
    </row>
    <row r="697" spans="1:21">
      <c r="A697" s="1">
        <v>336</v>
      </c>
      <c r="B697" s="2">
        <v>2023</v>
      </c>
      <c r="C697" s="1" t="s">
        <v>49</v>
      </c>
      <c r="D697" s="1" t="s">
        <v>50</v>
      </c>
      <c r="E697" s="1" t="s">
        <v>26</v>
      </c>
      <c r="F697" s="1" t="s">
        <v>46</v>
      </c>
      <c r="G697" s="10">
        <v>212228095</v>
      </c>
      <c r="H697" s="1">
        <v>73</v>
      </c>
      <c r="I697" s="1">
        <v>89</v>
      </c>
      <c r="J697" s="5">
        <v>31.1</v>
      </c>
      <c r="K697" s="1" t="s">
        <v>19</v>
      </c>
      <c r="L697" s="1" t="s">
        <v>19</v>
      </c>
      <c r="M697" s="10">
        <f t="shared" si="90"/>
        <v>6824054.501607717</v>
      </c>
      <c r="N697" s="10">
        <f t="shared" si="91"/>
        <v>2907234.1780821919</v>
      </c>
      <c r="O697" s="1">
        <f t="shared" si="92"/>
        <v>6</v>
      </c>
      <c r="P697" s="1">
        <f t="shared" si="93"/>
        <v>24</v>
      </c>
      <c r="Q697" s="1">
        <f t="shared" si="94"/>
        <v>-18</v>
      </c>
      <c r="R697" s="6">
        <f t="shared" si="95"/>
        <v>0.45061728395061729</v>
      </c>
      <c r="S697" s="8">
        <f t="shared" si="96"/>
        <v>88.427887193600071</v>
      </c>
      <c r="T697" s="8">
        <f t="shared" si="97"/>
        <v>-15.427887193600071</v>
      </c>
      <c r="U697" t="str">
        <f t="shared" si="98"/>
        <v>High</v>
      </c>
    </row>
    <row r="698" spans="1:21">
      <c r="A698" s="1">
        <v>752</v>
      </c>
      <c r="B698" s="2">
        <v>2023</v>
      </c>
      <c r="C698" s="1" t="s">
        <v>81</v>
      </c>
      <c r="D698" s="1" t="s">
        <v>82</v>
      </c>
      <c r="E698" s="1" t="s">
        <v>26</v>
      </c>
      <c r="F698" s="1" t="s">
        <v>27</v>
      </c>
      <c r="G698" s="10">
        <v>210367554</v>
      </c>
      <c r="H698" s="1">
        <v>89</v>
      </c>
      <c r="I698" s="1">
        <v>73</v>
      </c>
      <c r="J698" s="5">
        <v>45.7</v>
      </c>
      <c r="K698" s="1" t="s">
        <v>20</v>
      </c>
      <c r="L698" s="1" t="s">
        <v>19</v>
      </c>
      <c r="M698" s="10">
        <f t="shared" si="90"/>
        <v>4603228.7527352292</v>
      </c>
      <c r="N698" s="10">
        <f t="shared" si="91"/>
        <v>2363680.3820224721</v>
      </c>
      <c r="O698" s="1">
        <f t="shared" si="92"/>
        <v>7</v>
      </c>
      <c r="P698" s="1">
        <f t="shared" si="93"/>
        <v>9</v>
      </c>
      <c r="Q698" s="1">
        <f t="shared" si="94"/>
        <v>-2</v>
      </c>
      <c r="R698" s="6">
        <f t="shared" si="95"/>
        <v>0.54938271604938271</v>
      </c>
      <c r="S698" s="8">
        <f t="shared" si="96"/>
        <v>88.265452540220423</v>
      </c>
      <c r="T698" s="8">
        <f t="shared" si="97"/>
        <v>0.73454745977957714</v>
      </c>
      <c r="U698" t="str">
        <f t="shared" si="98"/>
        <v>High</v>
      </c>
    </row>
    <row r="699" spans="1:21">
      <c r="A699" s="1">
        <v>726</v>
      </c>
      <c r="B699" s="2">
        <v>2023</v>
      </c>
      <c r="C699" s="1" t="s">
        <v>79</v>
      </c>
      <c r="D699" s="1" t="s">
        <v>80</v>
      </c>
      <c r="E699" s="1" t="s">
        <v>26</v>
      </c>
      <c r="F699" s="1" t="s">
        <v>46</v>
      </c>
      <c r="G699" s="10">
        <v>199569490</v>
      </c>
      <c r="H699" s="1">
        <v>90</v>
      </c>
      <c r="I699" s="1">
        <v>72</v>
      </c>
      <c r="J699" s="5">
        <v>48.8</v>
      </c>
      <c r="K699" s="1" t="s">
        <v>20</v>
      </c>
      <c r="L699" s="1" t="s">
        <v>20</v>
      </c>
      <c r="M699" s="10">
        <f t="shared" si="90"/>
        <v>4089538.7295081969</v>
      </c>
      <c r="N699" s="10">
        <f t="shared" si="91"/>
        <v>2217438.777777778</v>
      </c>
      <c r="O699" s="1">
        <f t="shared" si="92"/>
        <v>8</v>
      </c>
      <c r="P699" s="1">
        <f t="shared" si="93"/>
        <v>6</v>
      </c>
      <c r="Q699" s="1">
        <f t="shared" si="94"/>
        <v>2</v>
      </c>
      <c r="R699" s="6">
        <f t="shared" si="95"/>
        <v>0.55555555555555558</v>
      </c>
      <c r="S699" s="8">
        <f t="shared" si="96"/>
        <v>87.322726858275701</v>
      </c>
      <c r="T699" s="8">
        <f t="shared" si="97"/>
        <v>2.6772731417242994</v>
      </c>
      <c r="U699" t="str">
        <f t="shared" si="98"/>
        <v>High</v>
      </c>
    </row>
    <row r="700" spans="1:21">
      <c r="A700" s="1">
        <v>50</v>
      </c>
      <c r="B700" s="2">
        <v>2023</v>
      </c>
      <c r="C700" s="1" t="s">
        <v>21</v>
      </c>
      <c r="D700" s="1" t="s">
        <v>22</v>
      </c>
      <c r="E700" s="1" t="s">
        <v>17</v>
      </c>
      <c r="F700" s="1" t="s">
        <v>23</v>
      </c>
      <c r="G700" s="10">
        <v>197332500</v>
      </c>
      <c r="H700" s="1">
        <v>104</v>
      </c>
      <c r="I700" s="1">
        <v>58</v>
      </c>
      <c r="J700" s="5">
        <v>55.6</v>
      </c>
      <c r="K700" s="1" t="s">
        <v>20</v>
      </c>
      <c r="L700" s="1" t="s">
        <v>19</v>
      </c>
      <c r="M700" s="10">
        <f t="shared" si="90"/>
        <v>3549145.6834532372</v>
      </c>
      <c r="N700" s="10">
        <f t="shared" si="91"/>
        <v>1897427.8846153845</v>
      </c>
      <c r="O700" s="1">
        <f t="shared" si="92"/>
        <v>9</v>
      </c>
      <c r="P700" s="1">
        <f t="shared" si="93"/>
        <v>1</v>
      </c>
      <c r="Q700" s="1">
        <f t="shared" si="94"/>
        <v>8</v>
      </c>
      <c r="R700" s="6">
        <f t="shared" si="95"/>
        <v>0.64197530864197527</v>
      </c>
      <c r="S700" s="8">
        <f t="shared" si="96"/>
        <v>87.127426300392955</v>
      </c>
      <c r="T700" s="8">
        <f t="shared" si="97"/>
        <v>16.872573699607045</v>
      </c>
      <c r="U700" t="str">
        <f t="shared" si="98"/>
        <v>High</v>
      </c>
    </row>
    <row r="701" spans="1:21">
      <c r="A701" s="1">
        <v>622</v>
      </c>
      <c r="B701" s="2">
        <v>2023</v>
      </c>
      <c r="C701" s="1" t="s">
        <v>71</v>
      </c>
      <c r="D701" s="1" t="s">
        <v>72</v>
      </c>
      <c r="E701" s="1" t="s">
        <v>17</v>
      </c>
      <c r="F701" s="1" t="s">
        <v>18</v>
      </c>
      <c r="G701" s="10">
        <v>193482500</v>
      </c>
      <c r="H701" s="1">
        <v>79</v>
      </c>
      <c r="I701" s="1">
        <v>83</v>
      </c>
      <c r="J701" s="5">
        <v>31.2</v>
      </c>
      <c r="K701" s="1" t="s">
        <v>19</v>
      </c>
      <c r="L701" s="1" t="s">
        <v>19</v>
      </c>
      <c r="M701" s="10">
        <f t="shared" si="90"/>
        <v>6201362.17948718</v>
      </c>
      <c r="N701" s="10">
        <f t="shared" si="91"/>
        <v>2449145.5696202531</v>
      </c>
      <c r="O701" s="1">
        <f t="shared" si="92"/>
        <v>10</v>
      </c>
      <c r="P701" s="1">
        <f t="shared" si="93"/>
        <v>18</v>
      </c>
      <c r="Q701" s="1">
        <f t="shared" si="94"/>
        <v>-8</v>
      </c>
      <c r="R701" s="6">
        <f t="shared" si="95"/>
        <v>0.48765432098765432</v>
      </c>
      <c r="S701" s="8">
        <f t="shared" si="96"/>
        <v>86.791301799233565</v>
      </c>
      <c r="T701" s="8">
        <f t="shared" si="97"/>
        <v>-7.7913017992335654</v>
      </c>
      <c r="U701" t="str">
        <f t="shared" si="98"/>
        <v>High</v>
      </c>
    </row>
    <row r="702" spans="1:21">
      <c r="A702" s="1">
        <v>284</v>
      </c>
      <c r="B702" s="2">
        <v>2023</v>
      </c>
      <c r="C702" s="1" t="s">
        <v>44</v>
      </c>
      <c r="D702" s="1" t="s">
        <v>45</v>
      </c>
      <c r="E702" s="1" t="s">
        <v>26</v>
      </c>
      <c r="F702" s="1" t="s">
        <v>46</v>
      </c>
      <c r="G702" s="10">
        <v>192767233</v>
      </c>
      <c r="H702" s="1">
        <v>90</v>
      </c>
      <c r="I702" s="1">
        <v>72</v>
      </c>
      <c r="J702" s="5">
        <v>46.1</v>
      </c>
      <c r="K702" s="1" t="s">
        <v>20</v>
      </c>
      <c r="L702" s="1" t="s">
        <v>19</v>
      </c>
      <c r="M702" s="10">
        <f t="shared" si="90"/>
        <v>4181501.8004338392</v>
      </c>
      <c r="N702" s="10">
        <f t="shared" si="91"/>
        <v>2141858.1444444442</v>
      </c>
      <c r="O702" s="1">
        <f t="shared" si="92"/>
        <v>11</v>
      </c>
      <c r="P702" s="1">
        <f t="shared" si="93"/>
        <v>6</v>
      </c>
      <c r="Q702" s="1">
        <f t="shared" si="94"/>
        <v>5</v>
      </c>
      <c r="R702" s="6">
        <f t="shared" si="95"/>
        <v>0.55555555555555558</v>
      </c>
      <c r="S702" s="8">
        <f t="shared" si="96"/>
        <v>86.728855367137271</v>
      </c>
      <c r="T702" s="8">
        <f t="shared" si="97"/>
        <v>3.2711446328627289</v>
      </c>
      <c r="U702" t="str">
        <f t="shared" si="98"/>
        <v>High</v>
      </c>
    </row>
    <row r="703" spans="1:21">
      <c r="A703" s="1">
        <v>102</v>
      </c>
      <c r="B703" s="2">
        <v>2023</v>
      </c>
      <c r="C703" s="1" t="s">
        <v>28</v>
      </c>
      <c r="D703" s="1" t="s">
        <v>29</v>
      </c>
      <c r="E703" s="1" t="s">
        <v>26</v>
      </c>
      <c r="F703" s="1" t="s">
        <v>27</v>
      </c>
      <c r="G703" s="10">
        <v>190556279</v>
      </c>
      <c r="H703" s="1">
        <v>78</v>
      </c>
      <c r="I703" s="1">
        <v>84</v>
      </c>
      <c r="J703" s="5">
        <v>36.200000000000003</v>
      </c>
      <c r="K703" s="1" t="s">
        <v>19</v>
      </c>
      <c r="L703" s="1" t="s">
        <v>19</v>
      </c>
      <c r="M703" s="10">
        <f t="shared" si="90"/>
        <v>5263985.6077348059</v>
      </c>
      <c r="N703" s="10">
        <f t="shared" si="91"/>
        <v>2443029.217948718</v>
      </c>
      <c r="O703" s="1">
        <f t="shared" si="92"/>
        <v>12</v>
      </c>
      <c r="P703" s="1">
        <f t="shared" si="93"/>
        <v>19</v>
      </c>
      <c r="Q703" s="1">
        <f t="shared" si="94"/>
        <v>-7</v>
      </c>
      <c r="R703" s="6">
        <f t="shared" si="95"/>
        <v>0.48148148148148145</v>
      </c>
      <c r="S703" s="8">
        <f t="shared" si="96"/>
        <v>86.53582788393301</v>
      </c>
      <c r="T703" s="8">
        <f t="shared" si="97"/>
        <v>-8.5358278839330097</v>
      </c>
      <c r="U703" t="str">
        <f t="shared" si="98"/>
        <v>High</v>
      </c>
    </row>
    <row r="704" spans="1:21">
      <c r="A704" s="1">
        <v>154</v>
      </c>
      <c r="B704" s="2">
        <v>2023</v>
      </c>
      <c r="C704" s="1" t="s">
        <v>33</v>
      </c>
      <c r="D704" s="1" t="s">
        <v>34</v>
      </c>
      <c r="E704" s="1" t="s">
        <v>26</v>
      </c>
      <c r="F704" s="1" t="s">
        <v>35</v>
      </c>
      <c r="G704" s="10">
        <v>189158667</v>
      </c>
      <c r="H704" s="1">
        <v>61</v>
      </c>
      <c r="I704" s="1">
        <v>101</v>
      </c>
      <c r="J704" s="5">
        <v>20.3</v>
      </c>
      <c r="K704" s="1" t="s">
        <v>19</v>
      </c>
      <c r="L704" s="1" t="s">
        <v>19</v>
      </c>
      <c r="M704" s="10">
        <f t="shared" si="90"/>
        <v>9318160.9359605908</v>
      </c>
      <c r="N704" s="10">
        <f t="shared" si="91"/>
        <v>3100961.7540983604</v>
      </c>
      <c r="O704" s="1">
        <f t="shared" si="92"/>
        <v>13</v>
      </c>
      <c r="P704" s="1">
        <f t="shared" si="93"/>
        <v>27</v>
      </c>
      <c r="Q704" s="1">
        <f t="shared" si="94"/>
        <v>-14</v>
      </c>
      <c r="R704" s="6">
        <f t="shared" si="95"/>
        <v>0.37654320987654322</v>
      </c>
      <c r="S704" s="8">
        <f t="shared" si="96"/>
        <v>86.41380927709811</v>
      </c>
      <c r="T704" s="8">
        <f t="shared" si="97"/>
        <v>-25.41380927709811</v>
      </c>
      <c r="U704" t="str">
        <f t="shared" si="98"/>
        <v>High</v>
      </c>
    </row>
    <row r="705" spans="1:21">
      <c r="A705" s="1">
        <v>128</v>
      </c>
      <c r="B705" s="2">
        <v>2023</v>
      </c>
      <c r="C705" s="1" t="s">
        <v>30</v>
      </c>
      <c r="D705" s="1" t="s">
        <v>31</v>
      </c>
      <c r="E705" s="1" t="s">
        <v>17</v>
      </c>
      <c r="F705" s="1" t="s">
        <v>32</v>
      </c>
      <c r="G705" s="10">
        <v>179168250</v>
      </c>
      <c r="H705" s="1">
        <v>83</v>
      </c>
      <c r="I705" s="1">
        <v>79</v>
      </c>
      <c r="J705" s="5">
        <v>37.700000000000003</v>
      </c>
      <c r="K705" s="1" t="s">
        <v>19</v>
      </c>
      <c r="L705" s="1" t="s">
        <v>19</v>
      </c>
      <c r="M705" s="10">
        <f t="shared" si="90"/>
        <v>4752473.4748010607</v>
      </c>
      <c r="N705" s="10">
        <f t="shared" si="91"/>
        <v>2158653.6144578313</v>
      </c>
      <c r="O705" s="1">
        <f t="shared" si="92"/>
        <v>14</v>
      </c>
      <c r="P705" s="1">
        <f t="shared" si="93"/>
        <v>14</v>
      </c>
      <c r="Q705" s="1">
        <f t="shared" si="94"/>
        <v>0</v>
      </c>
      <c r="R705" s="6">
        <f t="shared" si="95"/>
        <v>0.51234567901234573</v>
      </c>
      <c r="S705" s="8">
        <f t="shared" si="96"/>
        <v>85.541595269176213</v>
      </c>
      <c r="T705" s="8">
        <f t="shared" si="97"/>
        <v>-2.5415952691762129</v>
      </c>
      <c r="U705" t="str">
        <f t="shared" si="98"/>
        <v>High</v>
      </c>
    </row>
    <row r="706" spans="1:21">
      <c r="A706" s="1">
        <v>232</v>
      </c>
      <c r="B706" s="2">
        <v>2023</v>
      </c>
      <c r="C706" s="1" t="s">
        <v>40</v>
      </c>
      <c r="D706" s="1" t="s">
        <v>41</v>
      </c>
      <c r="E706" s="1" t="s">
        <v>17</v>
      </c>
      <c r="F706" s="1" t="s">
        <v>18</v>
      </c>
      <c r="G706" s="10">
        <v>176008778</v>
      </c>
      <c r="H706" s="1">
        <v>59</v>
      </c>
      <c r="I706" s="1">
        <v>103</v>
      </c>
      <c r="J706" s="5">
        <v>16.5</v>
      </c>
      <c r="K706" s="1" t="s">
        <v>19</v>
      </c>
      <c r="L706" s="1" t="s">
        <v>19</v>
      </c>
      <c r="M706" s="10">
        <f t="shared" ref="M706:M769" si="99">G706/J706</f>
        <v>10667198.666666666</v>
      </c>
      <c r="N706" s="10">
        <f t="shared" ref="N706:N769" si="100">G706/H706</f>
        <v>2983199.6271186438</v>
      </c>
      <c r="O706" s="1">
        <f t="shared" si="92"/>
        <v>15</v>
      </c>
      <c r="P706" s="1">
        <f t="shared" si="93"/>
        <v>28</v>
      </c>
      <c r="Q706" s="1">
        <f t="shared" si="94"/>
        <v>-13</v>
      </c>
      <c r="R706" s="6">
        <f t="shared" si="95"/>
        <v>0.36419753086419754</v>
      </c>
      <c r="S706" s="8">
        <f t="shared" si="96"/>
        <v>85.265757360104246</v>
      </c>
      <c r="T706" s="8">
        <f t="shared" si="97"/>
        <v>-26.265757360104246</v>
      </c>
      <c r="U706" t="str">
        <f t="shared" si="98"/>
        <v>High</v>
      </c>
    </row>
    <row r="707" spans="1:21">
      <c r="A707" s="1">
        <v>440</v>
      </c>
      <c r="B707" s="2">
        <v>2023</v>
      </c>
      <c r="C707" s="1" t="s">
        <v>57</v>
      </c>
      <c r="D707" s="1" t="s">
        <v>58</v>
      </c>
      <c r="E707" s="1" t="s">
        <v>26</v>
      </c>
      <c r="F707" s="1" t="s">
        <v>35</v>
      </c>
      <c r="G707" s="10">
        <v>156488740</v>
      </c>
      <c r="H707" s="1">
        <v>87</v>
      </c>
      <c r="I707" s="1">
        <v>75</v>
      </c>
      <c r="J707" s="5">
        <v>46.2</v>
      </c>
      <c r="K707" s="1" t="s">
        <v>20</v>
      </c>
      <c r="L707" s="1" t="s">
        <v>19</v>
      </c>
      <c r="M707" s="10">
        <f t="shared" si="99"/>
        <v>3387202.1645021643</v>
      </c>
      <c r="N707" s="10">
        <f t="shared" si="100"/>
        <v>1798721.1494252873</v>
      </c>
      <c r="O707" s="1">
        <f t="shared" ref="O707:O770" si="101">COUNTIFS($B$2:$B$1000, B707, $G$2:$G$1000, "&gt;"&amp;G707) + 1</f>
        <v>16</v>
      </c>
      <c r="P707" s="1">
        <f t="shared" ref="P707:P770" si="102">COUNTIFS($B$2:$B$1000, B707, $H$2:$H$1000, "&gt;"&amp;H707) + 1</f>
        <v>11</v>
      </c>
      <c r="Q707" s="1">
        <f t="shared" ref="Q707:Q770" si="103">O707-P707</f>
        <v>5</v>
      </c>
      <c r="R707" s="6">
        <f t="shared" ref="R707:R770" si="104">H707/(H707+I707)</f>
        <v>0.53703703703703709</v>
      </c>
      <c r="S707" s="8">
        <f t="shared" ref="S707:S770" si="105">_xlfn.FORECAST.LINEAR(G707, $H$2:$H$781, $G$2:$G$781)</f>
        <v>83.561559169101031</v>
      </c>
      <c r="T707" s="8">
        <f t="shared" ref="T707:T770" si="106">H707-S707</f>
        <v>3.4384408308989691</v>
      </c>
      <c r="U707" t="str">
        <f t="shared" ref="U707:U770" si="107">IF(G707&lt;80000000,"Low",
 IF(G707&lt;150000000,"Mid","High"))</f>
        <v>High</v>
      </c>
    </row>
    <row r="708" spans="1:21">
      <c r="A708" s="1">
        <v>674</v>
      </c>
      <c r="B708" s="2">
        <v>2023</v>
      </c>
      <c r="C708" s="1" t="s">
        <v>75</v>
      </c>
      <c r="D708" s="1" t="s">
        <v>76</v>
      </c>
      <c r="E708" s="1" t="s">
        <v>17</v>
      </c>
      <c r="F708" s="1" t="s">
        <v>32</v>
      </c>
      <c r="G708" s="10">
        <v>152712308</v>
      </c>
      <c r="H708" s="1">
        <v>71</v>
      </c>
      <c r="I708" s="1">
        <v>91</v>
      </c>
      <c r="J708" s="5">
        <v>28.4</v>
      </c>
      <c r="K708" s="1" t="s">
        <v>19</v>
      </c>
      <c r="L708" s="1" t="s">
        <v>19</v>
      </c>
      <c r="M708" s="10">
        <f t="shared" si="99"/>
        <v>5377193.9436619719</v>
      </c>
      <c r="N708" s="10">
        <f t="shared" si="100"/>
        <v>2150877.5774647887</v>
      </c>
      <c r="O708" s="1">
        <f t="shared" si="101"/>
        <v>17</v>
      </c>
      <c r="P708" s="1">
        <f t="shared" si="102"/>
        <v>25</v>
      </c>
      <c r="Q708" s="1">
        <f t="shared" si="103"/>
        <v>-8</v>
      </c>
      <c r="R708" s="6">
        <f t="shared" si="104"/>
        <v>0.43827160493827161</v>
      </c>
      <c r="S708" s="8">
        <f t="shared" si="105"/>
        <v>83.231857526980932</v>
      </c>
      <c r="T708" s="8">
        <f t="shared" si="106"/>
        <v>-12.231857526980932</v>
      </c>
      <c r="U708" t="str">
        <f t="shared" si="107"/>
        <v>High</v>
      </c>
    </row>
    <row r="709" spans="1:21">
      <c r="A709" s="1">
        <v>648</v>
      </c>
      <c r="B709" s="2">
        <v>2023</v>
      </c>
      <c r="C709" s="1" t="s">
        <v>73</v>
      </c>
      <c r="D709" s="1" t="s">
        <v>74</v>
      </c>
      <c r="E709" s="1" t="s">
        <v>26</v>
      </c>
      <c r="F709" s="1" t="s">
        <v>46</v>
      </c>
      <c r="G709" s="10">
        <v>130969948</v>
      </c>
      <c r="H709" s="1">
        <v>88</v>
      </c>
      <c r="I709" s="1">
        <v>74</v>
      </c>
      <c r="J709" s="5">
        <v>42.5</v>
      </c>
      <c r="K709" s="1" t="s">
        <v>19</v>
      </c>
      <c r="L709" s="1" t="s">
        <v>19</v>
      </c>
      <c r="M709" s="10">
        <f t="shared" si="99"/>
        <v>3081645.8352941177</v>
      </c>
      <c r="N709" s="10">
        <f t="shared" si="100"/>
        <v>1488294.8636363635</v>
      </c>
      <c r="O709" s="1">
        <f t="shared" si="101"/>
        <v>18</v>
      </c>
      <c r="P709" s="1">
        <f t="shared" si="102"/>
        <v>10</v>
      </c>
      <c r="Q709" s="1">
        <f t="shared" si="103"/>
        <v>8</v>
      </c>
      <c r="R709" s="6">
        <f t="shared" si="104"/>
        <v>0.54320987654320985</v>
      </c>
      <c r="S709" s="8">
        <f t="shared" si="105"/>
        <v>81.333639368791864</v>
      </c>
      <c r="T709" s="8">
        <f t="shared" si="106"/>
        <v>6.6663606312081356</v>
      </c>
      <c r="U709" t="str">
        <f t="shared" si="107"/>
        <v>Mid</v>
      </c>
    </row>
    <row r="710" spans="1:21">
      <c r="A710" s="1">
        <v>258</v>
      </c>
      <c r="B710" s="2">
        <v>2023</v>
      </c>
      <c r="C710" s="1" t="s">
        <v>42</v>
      </c>
      <c r="D710" s="1" t="s">
        <v>43</v>
      </c>
      <c r="E710" s="1" t="s">
        <v>26</v>
      </c>
      <c r="F710" s="1" t="s">
        <v>35</v>
      </c>
      <c r="G710" s="10">
        <v>123500500</v>
      </c>
      <c r="H710" s="1">
        <v>78</v>
      </c>
      <c r="I710" s="1">
        <v>84</v>
      </c>
      <c r="J710" s="5">
        <v>28.1</v>
      </c>
      <c r="K710" s="1" t="s">
        <v>19</v>
      </c>
      <c r="L710" s="1" t="s">
        <v>19</v>
      </c>
      <c r="M710" s="10">
        <f t="shared" si="99"/>
        <v>4395035.5871886117</v>
      </c>
      <c r="N710" s="10">
        <f t="shared" si="100"/>
        <v>1583339.7435897435</v>
      </c>
      <c r="O710" s="1">
        <f t="shared" si="101"/>
        <v>19</v>
      </c>
      <c r="P710" s="1">
        <f t="shared" si="102"/>
        <v>19</v>
      </c>
      <c r="Q710" s="1">
        <f t="shared" si="103"/>
        <v>0</v>
      </c>
      <c r="R710" s="6">
        <f t="shared" si="104"/>
        <v>0.48148148148148145</v>
      </c>
      <c r="S710" s="8">
        <f t="shared" si="105"/>
        <v>80.68151872387341</v>
      </c>
      <c r="T710" s="8">
        <f t="shared" si="106"/>
        <v>-2.6815187238734097</v>
      </c>
      <c r="U710" t="str">
        <f t="shared" si="107"/>
        <v>Mid</v>
      </c>
    </row>
    <row r="711" spans="1:21">
      <c r="A711" s="1">
        <v>24</v>
      </c>
      <c r="B711" s="2">
        <v>2023</v>
      </c>
      <c r="C711" s="1" t="s">
        <v>15</v>
      </c>
      <c r="D711" s="1" t="s">
        <v>16</v>
      </c>
      <c r="E711" s="1" t="s">
        <v>17</v>
      </c>
      <c r="F711" s="1" t="s">
        <v>18</v>
      </c>
      <c r="G711" s="10">
        <v>117251292</v>
      </c>
      <c r="H711" s="1">
        <v>84</v>
      </c>
      <c r="I711" s="1">
        <v>78</v>
      </c>
      <c r="J711" s="5">
        <v>34.5</v>
      </c>
      <c r="K711" s="1" t="s">
        <v>20</v>
      </c>
      <c r="L711" s="1" t="s">
        <v>19</v>
      </c>
      <c r="M711" s="10">
        <f t="shared" si="99"/>
        <v>3398588.1739130435</v>
      </c>
      <c r="N711" s="10">
        <f t="shared" si="100"/>
        <v>1395848.7142857143</v>
      </c>
      <c r="O711" s="1">
        <f t="shared" si="101"/>
        <v>20</v>
      </c>
      <c r="P711" s="1">
        <f t="shared" si="102"/>
        <v>12</v>
      </c>
      <c r="Q711" s="1">
        <f t="shared" si="103"/>
        <v>8</v>
      </c>
      <c r="R711" s="6">
        <f t="shared" si="104"/>
        <v>0.51851851851851849</v>
      </c>
      <c r="S711" s="8">
        <f t="shared" si="105"/>
        <v>80.135931211758788</v>
      </c>
      <c r="T711" s="8">
        <f t="shared" si="106"/>
        <v>3.8640687882412124</v>
      </c>
      <c r="U711" t="str">
        <f t="shared" si="107"/>
        <v>Mid</v>
      </c>
    </row>
    <row r="712" spans="1:21">
      <c r="A712" s="1">
        <v>414</v>
      </c>
      <c r="B712" s="2">
        <v>2023</v>
      </c>
      <c r="C712" s="1" t="s">
        <v>55</v>
      </c>
      <c r="D712" s="1" t="s">
        <v>56</v>
      </c>
      <c r="E712" s="1" t="s">
        <v>17</v>
      </c>
      <c r="F712" s="1" t="s">
        <v>32</v>
      </c>
      <c r="G712" s="10">
        <v>116351987</v>
      </c>
      <c r="H712" s="1">
        <v>92</v>
      </c>
      <c r="I712" s="1">
        <v>70</v>
      </c>
      <c r="J712" s="5">
        <v>36.799999999999997</v>
      </c>
      <c r="K712" s="1" t="s">
        <v>20</v>
      </c>
      <c r="L712" s="1" t="s">
        <v>19</v>
      </c>
      <c r="M712" s="10">
        <f t="shared" si="99"/>
        <v>3161738.7771739131</v>
      </c>
      <c r="N712" s="10">
        <f t="shared" si="100"/>
        <v>1264695.5108695652</v>
      </c>
      <c r="O712" s="1">
        <f t="shared" si="101"/>
        <v>21</v>
      </c>
      <c r="P712" s="1">
        <f t="shared" si="102"/>
        <v>5</v>
      </c>
      <c r="Q712" s="1">
        <f t="shared" si="103"/>
        <v>16</v>
      </c>
      <c r="R712" s="6">
        <f t="shared" si="104"/>
        <v>0.5679012345679012</v>
      </c>
      <c r="S712" s="8">
        <f t="shared" si="105"/>
        <v>80.057417330066542</v>
      </c>
      <c r="T712" s="8">
        <f t="shared" si="106"/>
        <v>11.942582669933458</v>
      </c>
      <c r="U712" t="str">
        <f t="shared" si="107"/>
        <v>Mid</v>
      </c>
    </row>
    <row r="713" spans="1:21">
      <c r="A713" s="1">
        <v>778</v>
      </c>
      <c r="B713" s="2">
        <v>2023</v>
      </c>
      <c r="C713" s="1" t="s">
        <v>83</v>
      </c>
      <c r="D713" s="1" t="s">
        <v>84</v>
      </c>
      <c r="E713" s="1" t="s">
        <v>17</v>
      </c>
      <c r="F713" s="1" t="s">
        <v>23</v>
      </c>
      <c r="G713" s="10">
        <v>101540153</v>
      </c>
      <c r="H713" s="1">
        <v>71</v>
      </c>
      <c r="I713" s="1">
        <v>91</v>
      </c>
      <c r="J713" s="5">
        <v>21.5</v>
      </c>
      <c r="K713" s="1" t="s">
        <v>19</v>
      </c>
      <c r="L713" s="1" t="s">
        <v>19</v>
      </c>
      <c r="M713" s="10">
        <f t="shared" si="99"/>
        <v>4722797.8139534881</v>
      </c>
      <c r="N713" s="10">
        <f t="shared" si="100"/>
        <v>1430143</v>
      </c>
      <c r="O713" s="1">
        <f t="shared" si="101"/>
        <v>22</v>
      </c>
      <c r="P713" s="1">
        <f t="shared" si="102"/>
        <v>25</v>
      </c>
      <c r="Q713" s="1">
        <f t="shared" si="103"/>
        <v>-3</v>
      </c>
      <c r="R713" s="6">
        <f t="shared" si="104"/>
        <v>0.43827160493827161</v>
      </c>
      <c r="S713" s="8">
        <f t="shared" si="105"/>
        <v>78.7642691964287</v>
      </c>
      <c r="T713" s="8">
        <f t="shared" si="106"/>
        <v>-7.7642691964286996</v>
      </c>
      <c r="U713" t="str">
        <f t="shared" si="107"/>
        <v>Mid</v>
      </c>
    </row>
    <row r="714" spans="1:21">
      <c r="A714" s="1">
        <v>388</v>
      </c>
      <c r="B714" s="2">
        <v>2023</v>
      </c>
      <c r="C714" s="1" t="s">
        <v>53</v>
      </c>
      <c r="D714" s="1" t="s">
        <v>54</v>
      </c>
      <c r="E714" s="1" t="s">
        <v>17</v>
      </c>
      <c r="F714" s="1" t="s">
        <v>23</v>
      </c>
      <c r="G714" s="10">
        <v>91975000</v>
      </c>
      <c r="H714" s="1">
        <v>84</v>
      </c>
      <c r="I714" s="1">
        <v>78</v>
      </c>
      <c r="J714" s="5">
        <v>33.799999999999997</v>
      </c>
      <c r="K714" s="1" t="s">
        <v>20</v>
      </c>
      <c r="L714" s="1" t="s">
        <v>19</v>
      </c>
      <c r="M714" s="10">
        <f t="shared" si="99"/>
        <v>2721153.8461538465</v>
      </c>
      <c r="N714" s="10">
        <f t="shared" si="100"/>
        <v>1094940.4761904762</v>
      </c>
      <c r="O714" s="1">
        <f t="shared" si="101"/>
        <v>23</v>
      </c>
      <c r="P714" s="1">
        <f t="shared" si="102"/>
        <v>12</v>
      </c>
      <c r="Q714" s="1">
        <f t="shared" si="103"/>
        <v>11</v>
      </c>
      <c r="R714" s="6">
        <f t="shared" si="104"/>
        <v>0.51851851851851849</v>
      </c>
      <c r="S714" s="8">
        <f t="shared" si="105"/>
        <v>77.929182889769407</v>
      </c>
      <c r="T714" s="8">
        <f t="shared" si="106"/>
        <v>6.0708171102305926</v>
      </c>
      <c r="U714" t="str">
        <f t="shared" si="107"/>
        <v>Mid</v>
      </c>
    </row>
    <row r="715" spans="1:21">
      <c r="A715" s="1">
        <v>310</v>
      </c>
      <c r="B715" s="2">
        <v>2023</v>
      </c>
      <c r="C715" s="1" t="s">
        <v>47</v>
      </c>
      <c r="D715" s="1" t="s">
        <v>48</v>
      </c>
      <c r="E715" s="1" t="s">
        <v>26</v>
      </c>
      <c r="F715" s="1" t="s">
        <v>35</v>
      </c>
      <c r="G715" s="10">
        <v>90118100</v>
      </c>
      <c r="H715" s="1">
        <v>56</v>
      </c>
      <c r="I715" s="1">
        <v>106</v>
      </c>
      <c r="J715" s="5">
        <v>19.3</v>
      </c>
      <c r="K715" s="1" t="s">
        <v>19</v>
      </c>
      <c r="L715" s="1" t="s">
        <v>19</v>
      </c>
      <c r="M715" s="10">
        <f t="shared" si="99"/>
        <v>4669331.6062176162</v>
      </c>
      <c r="N715" s="10">
        <f t="shared" si="100"/>
        <v>1609251.7857142857</v>
      </c>
      <c r="O715" s="1">
        <f t="shared" si="101"/>
        <v>24</v>
      </c>
      <c r="P715" s="1">
        <f t="shared" si="102"/>
        <v>29</v>
      </c>
      <c r="Q715" s="1">
        <f t="shared" si="103"/>
        <v>-5</v>
      </c>
      <c r="R715" s="6">
        <f t="shared" si="104"/>
        <v>0.34567901234567899</v>
      </c>
      <c r="S715" s="8">
        <f t="shared" si="105"/>
        <v>77.767066114132291</v>
      </c>
      <c r="T715" s="8">
        <f t="shared" si="106"/>
        <v>-21.767066114132291</v>
      </c>
      <c r="U715" t="str">
        <f t="shared" si="107"/>
        <v>Mid</v>
      </c>
    </row>
    <row r="716" spans="1:21">
      <c r="A716" s="1">
        <v>206</v>
      </c>
      <c r="B716" s="2">
        <v>2023</v>
      </c>
      <c r="C716" s="1" t="s">
        <v>38</v>
      </c>
      <c r="D716" s="1" t="s">
        <v>39</v>
      </c>
      <c r="E716" s="1" t="s">
        <v>26</v>
      </c>
      <c r="F716" s="1" t="s">
        <v>35</v>
      </c>
      <c r="G716" s="10">
        <v>89824629</v>
      </c>
      <c r="H716" s="1">
        <v>76</v>
      </c>
      <c r="I716" s="1">
        <v>86</v>
      </c>
      <c r="J716" s="5">
        <v>32.799999999999997</v>
      </c>
      <c r="K716" s="1" t="s">
        <v>19</v>
      </c>
      <c r="L716" s="1" t="s">
        <v>19</v>
      </c>
      <c r="M716" s="10">
        <f t="shared" si="99"/>
        <v>2738555.762195122</v>
      </c>
      <c r="N716" s="10">
        <f t="shared" si="100"/>
        <v>1181903.0131578948</v>
      </c>
      <c r="O716" s="1">
        <f t="shared" si="101"/>
        <v>25</v>
      </c>
      <c r="P716" s="1">
        <f t="shared" si="102"/>
        <v>21</v>
      </c>
      <c r="Q716" s="1">
        <f t="shared" si="103"/>
        <v>4</v>
      </c>
      <c r="R716" s="6">
        <f t="shared" si="104"/>
        <v>0.46913580246913578</v>
      </c>
      <c r="S716" s="8">
        <f t="shared" si="105"/>
        <v>77.741444609332362</v>
      </c>
      <c r="T716" s="8">
        <f t="shared" si="106"/>
        <v>-1.7414446093323619</v>
      </c>
      <c r="U716" t="str">
        <f t="shared" si="107"/>
        <v>Mid</v>
      </c>
    </row>
    <row r="717" spans="1:21">
      <c r="A717" s="1">
        <v>180</v>
      </c>
      <c r="B717" s="2">
        <v>2023</v>
      </c>
      <c r="C717" s="1" t="s">
        <v>36</v>
      </c>
      <c r="D717" s="1" t="s">
        <v>37</v>
      </c>
      <c r="E717" s="1" t="s">
        <v>17</v>
      </c>
      <c r="F717" s="1" t="s">
        <v>32</v>
      </c>
      <c r="G717" s="10">
        <v>84175714</v>
      </c>
      <c r="H717" s="1">
        <v>82</v>
      </c>
      <c r="I717" s="1">
        <v>80</v>
      </c>
      <c r="J717" s="5">
        <v>30.5</v>
      </c>
      <c r="K717" s="1" t="s">
        <v>19</v>
      </c>
      <c r="L717" s="1" t="s">
        <v>19</v>
      </c>
      <c r="M717" s="10">
        <f t="shared" si="99"/>
        <v>2759859.475409836</v>
      </c>
      <c r="N717" s="10">
        <f t="shared" si="100"/>
        <v>1026533.0975609756</v>
      </c>
      <c r="O717" s="1">
        <f t="shared" si="101"/>
        <v>26</v>
      </c>
      <c r="P717" s="1">
        <f t="shared" si="102"/>
        <v>15</v>
      </c>
      <c r="Q717" s="1">
        <f t="shared" si="103"/>
        <v>11</v>
      </c>
      <c r="R717" s="6">
        <f t="shared" si="104"/>
        <v>0.50617283950617287</v>
      </c>
      <c r="S717" s="8">
        <f t="shared" si="105"/>
        <v>77.248265716743575</v>
      </c>
      <c r="T717" s="8">
        <f t="shared" si="106"/>
        <v>4.7517342832564253</v>
      </c>
      <c r="U717" t="str">
        <f t="shared" si="107"/>
        <v>Mid</v>
      </c>
    </row>
    <row r="718" spans="1:21">
      <c r="A718" s="1">
        <v>700</v>
      </c>
      <c r="B718" s="2">
        <v>2023</v>
      </c>
      <c r="C718" s="1" t="s">
        <v>77</v>
      </c>
      <c r="D718" s="1" t="s">
        <v>78</v>
      </c>
      <c r="E718" s="1" t="s">
        <v>26</v>
      </c>
      <c r="F718" s="1" t="s">
        <v>27</v>
      </c>
      <c r="G718" s="10">
        <v>75209811</v>
      </c>
      <c r="H718" s="1">
        <v>99</v>
      </c>
      <c r="I718" s="1">
        <v>63</v>
      </c>
      <c r="J718" s="5">
        <v>52.9</v>
      </c>
      <c r="K718" s="1" t="s">
        <v>20</v>
      </c>
      <c r="L718" s="1" t="s">
        <v>19</v>
      </c>
      <c r="M718" s="10">
        <f t="shared" si="99"/>
        <v>1421735.5576559547</v>
      </c>
      <c r="N718" s="10">
        <f t="shared" si="100"/>
        <v>759695.06060606055</v>
      </c>
      <c r="O718" s="1">
        <f t="shared" si="101"/>
        <v>27</v>
      </c>
      <c r="P718" s="1">
        <f t="shared" si="102"/>
        <v>4</v>
      </c>
      <c r="Q718" s="1">
        <f t="shared" si="103"/>
        <v>23</v>
      </c>
      <c r="R718" s="6">
        <f t="shared" si="104"/>
        <v>0.61111111111111116</v>
      </c>
      <c r="S718" s="8">
        <f t="shared" si="105"/>
        <v>76.465496970427083</v>
      </c>
      <c r="T718" s="8">
        <f t="shared" si="106"/>
        <v>22.534503029572917</v>
      </c>
      <c r="U718" t="str">
        <f t="shared" si="107"/>
        <v>Low</v>
      </c>
    </row>
    <row r="719" spans="1:21">
      <c r="A719" s="1">
        <v>570</v>
      </c>
      <c r="B719" s="2">
        <v>2023</v>
      </c>
      <c r="C719" s="1" t="s">
        <v>67</v>
      </c>
      <c r="D719" s="1" t="s">
        <v>68</v>
      </c>
      <c r="E719" s="1" t="s">
        <v>17</v>
      </c>
      <c r="F719" s="1" t="s">
        <v>32</v>
      </c>
      <c r="G719" s="10">
        <v>71652500</v>
      </c>
      <c r="H719" s="1">
        <v>76</v>
      </c>
      <c r="I719" s="1">
        <v>86</v>
      </c>
      <c r="J719" s="5">
        <v>24.5</v>
      </c>
      <c r="K719" s="1" t="s">
        <v>19</v>
      </c>
      <c r="L719" s="1" t="s">
        <v>19</v>
      </c>
      <c r="M719" s="10">
        <f t="shared" si="99"/>
        <v>2924591.836734694</v>
      </c>
      <c r="N719" s="10">
        <f t="shared" si="100"/>
        <v>942796.05263157899</v>
      </c>
      <c r="O719" s="1">
        <f t="shared" si="101"/>
        <v>28</v>
      </c>
      <c r="P719" s="1">
        <f t="shared" si="102"/>
        <v>21</v>
      </c>
      <c r="Q719" s="1">
        <f t="shared" si="103"/>
        <v>7</v>
      </c>
      <c r="R719" s="6">
        <f t="shared" si="104"/>
        <v>0.46913580246913578</v>
      </c>
      <c r="S719" s="8">
        <f t="shared" si="105"/>
        <v>76.154925701506613</v>
      </c>
      <c r="T719" s="8">
        <f t="shared" si="106"/>
        <v>-0.15492570150661322</v>
      </c>
      <c r="U719" t="str">
        <f t="shared" si="107"/>
        <v>Low</v>
      </c>
    </row>
    <row r="720" spans="1:21">
      <c r="A720" s="1">
        <v>76</v>
      </c>
      <c r="B720" s="2">
        <v>2023</v>
      </c>
      <c r="C720" s="1" t="s">
        <v>24</v>
      </c>
      <c r="D720" s="1" t="s">
        <v>25</v>
      </c>
      <c r="E720" s="1" t="s">
        <v>26</v>
      </c>
      <c r="F720" s="1" t="s">
        <v>27</v>
      </c>
      <c r="G720" s="10">
        <v>60422300</v>
      </c>
      <c r="H720" s="1">
        <v>101</v>
      </c>
      <c r="I720" s="1">
        <v>61</v>
      </c>
      <c r="J720" s="5">
        <v>44.2</v>
      </c>
      <c r="K720" s="1" t="s">
        <v>20</v>
      </c>
      <c r="L720" s="1" t="s">
        <v>19</v>
      </c>
      <c r="M720" s="10">
        <f t="shared" si="99"/>
        <v>1367020.3619909501</v>
      </c>
      <c r="N720" s="10">
        <f t="shared" si="100"/>
        <v>598240.59405940596</v>
      </c>
      <c r="O720" s="1">
        <f t="shared" si="101"/>
        <v>29</v>
      </c>
      <c r="P720" s="1">
        <f t="shared" si="102"/>
        <v>2</v>
      </c>
      <c r="Q720" s="1">
        <f t="shared" si="103"/>
        <v>27</v>
      </c>
      <c r="R720" s="6">
        <f t="shared" si="104"/>
        <v>0.62345679012345678</v>
      </c>
      <c r="S720" s="8">
        <f t="shared" si="105"/>
        <v>75.174472357890963</v>
      </c>
      <c r="T720" s="8">
        <f t="shared" si="106"/>
        <v>25.825527642109037</v>
      </c>
      <c r="U720" t="str">
        <f t="shared" si="107"/>
        <v>Low</v>
      </c>
    </row>
    <row r="721" spans="1:21">
      <c r="A721" s="1">
        <v>518</v>
      </c>
      <c r="B721" s="2">
        <v>2023</v>
      </c>
      <c r="C721" s="1" t="s">
        <v>63</v>
      </c>
      <c r="D721" s="1" t="s">
        <v>64</v>
      </c>
      <c r="E721" s="1" t="s">
        <v>26</v>
      </c>
      <c r="F721" s="1" t="s">
        <v>46</v>
      </c>
      <c r="G721" s="10">
        <v>57795000</v>
      </c>
      <c r="H721" s="1">
        <v>50</v>
      </c>
      <c r="I721" s="1">
        <v>112</v>
      </c>
      <c r="J721" s="5">
        <v>12.4</v>
      </c>
      <c r="K721" s="1" t="s">
        <v>19</v>
      </c>
      <c r="L721" s="1" t="s">
        <v>19</v>
      </c>
      <c r="M721" s="10">
        <f t="shared" si="99"/>
        <v>4660887.0967741935</v>
      </c>
      <c r="N721" s="10">
        <f t="shared" si="100"/>
        <v>1155900</v>
      </c>
      <c r="O721" s="1">
        <f t="shared" si="101"/>
        <v>30</v>
      </c>
      <c r="P721" s="1">
        <f t="shared" si="102"/>
        <v>30</v>
      </c>
      <c r="Q721" s="1">
        <f t="shared" si="103"/>
        <v>0</v>
      </c>
      <c r="R721" s="6">
        <f t="shared" si="104"/>
        <v>0.30864197530864196</v>
      </c>
      <c r="S721" s="8">
        <f t="shared" si="105"/>
        <v>74.94509575999588</v>
      </c>
      <c r="T721" s="8">
        <f t="shared" si="106"/>
        <v>-24.94509575999588</v>
      </c>
      <c r="U721" t="str">
        <f t="shared" si="107"/>
        <v>Low</v>
      </c>
    </row>
    <row r="722" spans="1:21">
      <c r="A722" s="1">
        <v>467</v>
      </c>
      <c r="B722" s="2">
        <v>2024</v>
      </c>
      <c r="C722" s="1" t="s">
        <v>59</v>
      </c>
      <c r="D722" s="1" t="s">
        <v>60</v>
      </c>
      <c r="E722" s="1" t="s">
        <v>17</v>
      </c>
      <c r="F722" s="1" t="s">
        <v>23</v>
      </c>
      <c r="G722" s="10">
        <v>301731074</v>
      </c>
      <c r="H722" s="1">
        <v>89</v>
      </c>
      <c r="I722" s="1">
        <v>73</v>
      </c>
      <c r="J722" s="5">
        <v>42.5</v>
      </c>
      <c r="K722" s="1" t="s">
        <v>20</v>
      </c>
      <c r="L722" s="1" t="s">
        <v>19</v>
      </c>
      <c r="M722" s="10">
        <f t="shared" si="99"/>
        <v>7099554.6823529415</v>
      </c>
      <c r="N722" s="10">
        <f t="shared" si="100"/>
        <v>3390236.7865168541</v>
      </c>
      <c r="O722" s="1">
        <f t="shared" si="101"/>
        <v>1</v>
      </c>
      <c r="P722" s="1">
        <f t="shared" si="102"/>
        <v>8</v>
      </c>
      <c r="Q722" s="1">
        <f t="shared" si="103"/>
        <v>-7</v>
      </c>
      <c r="R722" s="6">
        <f t="shared" si="104"/>
        <v>0.54938271604938271</v>
      </c>
      <c r="S722" s="8">
        <f t="shared" si="105"/>
        <v>96.241950614029832</v>
      </c>
      <c r="T722" s="8">
        <f t="shared" si="106"/>
        <v>-7.2419506140298324</v>
      </c>
      <c r="U722" t="str">
        <f t="shared" si="107"/>
        <v>High</v>
      </c>
    </row>
    <row r="723" spans="1:21">
      <c r="A723" s="1">
        <v>493</v>
      </c>
      <c r="B723" s="2">
        <v>2024</v>
      </c>
      <c r="C723" s="1" t="s">
        <v>61</v>
      </c>
      <c r="D723" s="1" t="s">
        <v>62</v>
      </c>
      <c r="E723" s="1" t="s">
        <v>26</v>
      </c>
      <c r="F723" s="1" t="s">
        <v>27</v>
      </c>
      <c r="G723" s="10">
        <v>293666666</v>
      </c>
      <c r="H723" s="1">
        <v>94</v>
      </c>
      <c r="I723" s="1">
        <v>68</v>
      </c>
      <c r="J723" s="5">
        <v>48.7</v>
      </c>
      <c r="K723" s="1" t="s">
        <v>20</v>
      </c>
      <c r="L723" s="1" t="s">
        <v>19</v>
      </c>
      <c r="M723" s="10">
        <f t="shared" si="99"/>
        <v>6030116.344969199</v>
      </c>
      <c r="N723" s="10">
        <f t="shared" si="100"/>
        <v>3124113.4680851065</v>
      </c>
      <c r="O723" s="1">
        <f t="shared" si="101"/>
        <v>2</v>
      </c>
      <c r="P723" s="1">
        <f t="shared" si="102"/>
        <v>3</v>
      </c>
      <c r="Q723" s="1">
        <f t="shared" si="103"/>
        <v>-1</v>
      </c>
      <c r="R723" s="6">
        <f t="shared" si="104"/>
        <v>0.58024691358024694</v>
      </c>
      <c r="S723" s="8">
        <f t="shared" si="105"/>
        <v>95.53788694749845</v>
      </c>
      <c r="T723" s="8">
        <f t="shared" si="106"/>
        <v>-1.5378869474984498</v>
      </c>
      <c r="U723" t="str">
        <f t="shared" si="107"/>
        <v>High</v>
      </c>
    </row>
    <row r="724" spans="1:21">
      <c r="A724" s="1">
        <v>285</v>
      </c>
      <c r="B724" s="2">
        <v>2024</v>
      </c>
      <c r="C724" s="1" t="s">
        <v>44</v>
      </c>
      <c r="D724" s="1" t="s">
        <v>45</v>
      </c>
      <c r="E724" s="1" t="s">
        <v>26</v>
      </c>
      <c r="F724" s="1" t="s">
        <v>46</v>
      </c>
      <c r="G724" s="10">
        <v>237303141</v>
      </c>
      <c r="H724" s="1">
        <v>88</v>
      </c>
      <c r="I724" s="1">
        <v>73</v>
      </c>
      <c r="J724" s="5">
        <v>41.9</v>
      </c>
      <c r="K724" s="1" t="s">
        <v>20</v>
      </c>
      <c r="L724" s="1" t="s">
        <v>19</v>
      </c>
      <c r="M724" s="10">
        <f t="shared" si="99"/>
        <v>5663559.4510739855</v>
      </c>
      <c r="N724" s="10">
        <f t="shared" si="100"/>
        <v>2696626.6022727271</v>
      </c>
      <c r="O724" s="1">
        <f t="shared" si="101"/>
        <v>3</v>
      </c>
      <c r="P724" s="1">
        <f t="shared" si="102"/>
        <v>11</v>
      </c>
      <c r="Q724" s="1">
        <f t="shared" si="103"/>
        <v>-8</v>
      </c>
      <c r="R724" s="6">
        <f t="shared" si="104"/>
        <v>0.54658385093167705</v>
      </c>
      <c r="S724" s="8">
        <f t="shared" si="105"/>
        <v>90.617065720430929</v>
      </c>
      <c r="T724" s="8">
        <f t="shared" si="106"/>
        <v>-2.6170657204309293</v>
      </c>
      <c r="U724" t="str">
        <f t="shared" si="107"/>
        <v>High</v>
      </c>
    </row>
    <row r="725" spans="1:21">
      <c r="A725" s="1">
        <v>545</v>
      </c>
      <c r="B725" s="2">
        <v>2024</v>
      </c>
      <c r="C725" s="1" t="s">
        <v>65</v>
      </c>
      <c r="D725" s="1" t="s">
        <v>66</v>
      </c>
      <c r="E725" s="1" t="s">
        <v>17</v>
      </c>
      <c r="F725" s="1" t="s">
        <v>23</v>
      </c>
      <c r="G725" s="10">
        <v>236182617</v>
      </c>
      <c r="H725" s="1">
        <v>95</v>
      </c>
      <c r="I725" s="1">
        <v>67</v>
      </c>
      <c r="J725" s="5">
        <v>51.8</v>
      </c>
      <c r="K725" s="1" t="s">
        <v>20</v>
      </c>
      <c r="L725" s="1" t="s">
        <v>19</v>
      </c>
      <c r="M725" s="10">
        <f t="shared" si="99"/>
        <v>4559509.9806949813</v>
      </c>
      <c r="N725" s="10">
        <f t="shared" si="100"/>
        <v>2486132.8105263156</v>
      </c>
      <c r="O725" s="1">
        <f t="shared" si="101"/>
        <v>4</v>
      </c>
      <c r="P725" s="1">
        <f t="shared" si="102"/>
        <v>2</v>
      </c>
      <c r="Q725" s="1">
        <f t="shared" si="103"/>
        <v>2</v>
      </c>
      <c r="R725" s="6">
        <f t="shared" si="104"/>
        <v>0.5864197530864198</v>
      </c>
      <c r="S725" s="8">
        <f t="shared" si="105"/>
        <v>90.519238299512196</v>
      </c>
      <c r="T725" s="8">
        <f t="shared" si="106"/>
        <v>4.480761700487804</v>
      </c>
      <c r="U725" t="str">
        <f t="shared" si="107"/>
        <v>High</v>
      </c>
    </row>
    <row r="726" spans="1:21">
      <c r="A726" s="1">
        <v>51</v>
      </c>
      <c r="B726" s="2">
        <v>2024</v>
      </c>
      <c r="C726" s="1" t="s">
        <v>21</v>
      </c>
      <c r="D726" s="1" t="s">
        <v>22</v>
      </c>
      <c r="E726" s="1" t="s">
        <v>17</v>
      </c>
      <c r="F726" s="1" t="s">
        <v>23</v>
      </c>
      <c r="G726" s="10">
        <v>225315000</v>
      </c>
      <c r="H726" s="1">
        <v>89</v>
      </c>
      <c r="I726" s="1">
        <v>73</v>
      </c>
      <c r="J726" s="5">
        <v>41.7</v>
      </c>
      <c r="K726" s="1" t="s">
        <v>20</v>
      </c>
      <c r="L726" s="1" t="s">
        <v>19</v>
      </c>
      <c r="M726" s="10">
        <f t="shared" si="99"/>
        <v>5403237.410071942</v>
      </c>
      <c r="N726" s="10">
        <f t="shared" si="100"/>
        <v>2531629.2134831459</v>
      </c>
      <c r="O726" s="1">
        <f t="shared" si="101"/>
        <v>5</v>
      </c>
      <c r="P726" s="1">
        <f t="shared" si="102"/>
        <v>8</v>
      </c>
      <c r="Q726" s="1">
        <f t="shared" si="103"/>
        <v>-3</v>
      </c>
      <c r="R726" s="6">
        <f t="shared" si="104"/>
        <v>0.54938271604938271</v>
      </c>
      <c r="S726" s="8">
        <f t="shared" si="105"/>
        <v>89.570440288365091</v>
      </c>
      <c r="T726" s="8">
        <f t="shared" si="106"/>
        <v>-0.57044028836509142</v>
      </c>
      <c r="U726" t="str">
        <f t="shared" si="107"/>
        <v>High</v>
      </c>
    </row>
    <row r="727" spans="1:21">
      <c r="A727" s="1">
        <v>727</v>
      </c>
      <c r="B727" s="2">
        <v>2024</v>
      </c>
      <c r="C727" s="1" t="s">
        <v>79</v>
      </c>
      <c r="D727" s="1" t="s">
        <v>80</v>
      </c>
      <c r="E727" s="1" t="s">
        <v>26</v>
      </c>
      <c r="F727" s="1" t="s">
        <v>46</v>
      </c>
      <c r="G727" s="10">
        <v>221955000</v>
      </c>
      <c r="H727" s="1">
        <v>78</v>
      </c>
      <c r="I727" s="1">
        <v>84</v>
      </c>
      <c r="J727" s="5">
        <v>32.799999999999997</v>
      </c>
      <c r="K727" s="1" t="s">
        <v>19</v>
      </c>
      <c r="L727" s="1" t="s">
        <v>19</v>
      </c>
      <c r="M727" s="10">
        <f t="shared" si="99"/>
        <v>6766920.7317073178</v>
      </c>
      <c r="N727" s="10">
        <f t="shared" si="100"/>
        <v>2845576.923076923</v>
      </c>
      <c r="O727" s="1">
        <f t="shared" si="101"/>
        <v>6</v>
      </c>
      <c r="P727" s="1">
        <f t="shared" si="102"/>
        <v>21</v>
      </c>
      <c r="Q727" s="1">
        <f t="shared" si="103"/>
        <v>-15</v>
      </c>
      <c r="R727" s="6">
        <f t="shared" si="104"/>
        <v>0.48148148148148145</v>
      </c>
      <c r="S727" s="8">
        <f t="shared" si="105"/>
        <v>89.27709526917144</v>
      </c>
      <c r="T727" s="8">
        <f t="shared" si="106"/>
        <v>-11.27709526917144</v>
      </c>
      <c r="U727" t="str">
        <f t="shared" si="107"/>
        <v>High</v>
      </c>
    </row>
    <row r="728" spans="1:21">
      <c r="A728" s="1">
        <v>753</v>
      </c>
      <c r="B728" s="2">
        <v>2024</v>
      </c>
      <c r="C728" s="1" t="s">
        <v>81</v>
      </c>
      <c r="D728" s="1" t="s">
        <v>82</v>
      </c>
      <c r="E728" s="1" t="s">
        <v>26</v>
      </c>
      <c r="F728" s="1" t="s">
        <v>27</v>
      </c>
      <c r="G728" s="10">
        <v>221876784</v>
      </c>
      <c r="H728" s="1">
        <v>74</v>
      </c>
      <c r="I728" s="1">
        <v>88</v>
      </c>
      <c r="J728" s="5">
        <v>31.7</v>
      </c>
      <c r="K728" s="1" t="s">
        <v>19</v>
      </c>
      <c r="L728" s="1" t="s">
        <v>19</v>
      </c>
      <c r="M728" s="10">
        <f t="shared" si="99"/>
        <v>6999267.6340694008</v>
      </c>
      <c r="N728" s="10">
        <f t="shared" si="100"/>
        <v>2998334.9189189188</v>
      </c>
      <c r="O728" s="1">
        <f t="shared" si="101"/>
        <v>7</v>
      </c>
      <c r="P728" s="1">
        <f t="shared" si="102"/>
        <v>24</v>
      </c>
      <c r="Q728" s="1">
        <f t="shared" si="103"/>
        <v>-17</v>
      </c>
      <c r="R728" s="6">
        <f t="shared" si="104"/>
        <v>0.4567901234567901</v>
      </c>
      <c r="S728" s="8">
        <f t="shared" si="105"/>
        <v>89.270266616188934</v>
      </c>
      <c r="T728" s="8">
        <f t="shared" si="106"/>
        <v>-15.270266616188934</v>
      </c>
      <c r="U728" t="str">
        <f t="shared" si="107"/>
        <v>High</v>
      </c>
    </row>
    <row r="729" spans="1:21">
      <c r="A729" s="1">
        <v>363</v>
      </c>
      <c r="B729" s="2">
        <v>2024</v>
      </c>
      <c r="C729" s="1" t="s">
        <v>51</v>
      </c>
      <c r="D729" s="1" t="s">
        <v>52</v>
      </c>
      <c r="E729" s="1" t="s">
        <v>17</v>
      </c>
      <c r="F729" s="1" t="s">
        <v>18</v>
      </c>
      <c r="G729" s="10">
        <v>220691666</v>
      </c>
      <c r="H729" s="1">
        <v>98</v>
      </c>
      <c r="I729" s="1">
        <v>64</v>
      </c>
      <c r="J729" s="5">
        <v>52.2</v>
      </c>
      <c r="K729" s="1" t="s">
        <v>20</v>
      </c>
      <c r="L729" s="1" t="s">
        <v>20</v>
      </c>
      <c r="M729" s="10">
        <f t="shared" si="99"/>
        <v>4227809.6934865899</v>
      </c>
      <c r="N729" s="10">
        <f t="shared" si="100"/>
        <v>2251955.775510204</v>
      </c>
      <c r="O729" s="1">
        <f t="shared" si="101"/>
        <v>8</v>
      </c>
      <c r="P729" s="1">
        <f t="shared" si="102"/>
        <v>1</v>
      </c>
      <c r="Q729" s="1">
        <f t="shared" si="103"/>
        <v>7</v>
      </c>
      <c r="R729" s="6">
        <f t="shared" si="104"/>
        <v>0.60493827160493829</v>
      </c>
      <c r="S729" s="8">
        <f t="shared" si="105"/>
        <v>89.166799811886321</v>
      </c>
      <c r="T729" s="8">
        <f t="shared" si="106"/>
        <v>8.833200188113679</v>
      </c>
      <c r="U729" t="str">
        <f t="shared" si="107"/>
        <v>High</v>
      </c>
    </row>
    <row r="730" spans="1:21">
      <c r="A730" s="1">
        <v>129</v>
      </c>
      <c r="B730" s="2">
        <v>2024</v>
      </c>
      <c r="C730" s="1" t="s">
        <v>30</v>
      </c>
      <c r="D730" s="1" t="s">
        <v>31</v>
      </c>
      <c r="E730" s="1" t="s">
        <v>17</v>
      </c>
      <c r="F730" s="1" t="s">
        <v>32</v>
      </c>
      <c r="G730" s="10">
        <v>216330000</v>
      </c>
      <c r="H730" s="1">
        <v>83</v>
      </c>
      <c r="I730" s="1">
        <v>79</v>
      </c>
      <c r="J730" s="5">
        <v>38.6</v>
      </c>
      <c r="K730" s="1" t="s">
        <v>19</v>
      </c>
      <c r="L730" s="1" t="s">
        <v>19</v>
      </c>
      <c r="M730" s="10">
        <f t="shared" si="99"/>
        <v>5604404.1450777203</v>
      </c>
      <c r="N730" s="10">
        <f t="shared" si="100"/>
        <v>2606385.5421686745</v>
      </c>
      <c r="O730" s="1">
        <f t="shared" si="101"/>
        <v>9</v>
      </c>
      <c r="P730" s="1">
        <f t="shared" si="102"/>
        <v>15</v>
      </c>
      <c r="Q730" s="1">
        <f t="shared" si="103"/>
        <v>-6</v>
      </c>
      <c r="R730" s="6">
        <f t="shared" si="104"/>
        <v>0.51234567901234573</v>
      </c>
      <c r="S730" s="8">
        <f t="shared" si="105"/>
        <v>88.786004277217785</v>
      </c>
      <c r="T730" s="8">
        <f t="shared" si="106"/>
        <v>-5.7860042772177849</v>
      </c>
      <c r="U730" t="str">
        <f t="shared" si="107"/>
        <v>High</v>
      </c>
    </row>
    <row r="731" spans="1:21">
      <c r="A731" s="1">
        <v>623</v>
      </c>
      <c r="B731" s="2">
        <v>2024</v>
      </c>
      <c r="C731" s="1" t="s">
        <v>71</v>
      </c>
      <c r="D731" s="1" t="s">
        <v>72</v>
      </c>
      <c r="E731" s="1" t="s">
        <v>17</v>
      </c>
      <c r="F731" s="1" t="s">
        <v>18</v>
      </c>
      <c r="G731" s="10">
        <v>188767909</v>
      </c>
      <c r="H731" s="1">
        <v>80</v>
      </c>
      <c r="I731" s="1">
        <v>82</v>
      </c>
      <c r="J731" s="5">
        <v>35.200000000000003</v>
      </c>
      <c r="K731" s="1" t="s">
        <v>19</v>
      </c>
      <c r="L731" s="1" t="s">
        <v>19</v>
      </c>
      <c r="M731" s="10">
        <f t="shared" si="99"/>
        <v>5362724.6875</v>
      </c>
      <c r="N731" s="10">
        <f t="shared" si="100"/>
        <v>2359598.8624999998</v>
      </c>
      <c r="O731" s="1">
        <f t="shared" si="101"/>
        <v>10</v>
      </c>
      <c r="P731" s="1">
        <f t="shared" si="102"/>
        <v>19</v>
      </c>
      <c r="Q731" s="1">
        <f t="shared" si="103"/>
        <v>-9</v>
      </c>
      <c r="R731" s="6">
        <f t="shared" si="104"/>
        <v>0.49382716049382713</v>
      </c>
      <c r="S731" s="8">
        <f t="shared" si="105"/>
        <v>86.379694124416545</v>
      </c>
      <c r="T731" s="8">
        <f t="shared" si="106"/>
        <v>-6.3796941244165453</v>
      </c>
      <c r="U731" t="str">
        <f t="shared" si="107"/>
        <v>High</v>
      </c>
    </row>
    <row r="732" spans="1:21">
      <c r="A732" s="1">
        <v>675</v>
      </c>
      <c r="B732" s="2">
        <v>2024</v>
      </c>
      <c r="C732" s="1" t="s">
        <v>75</v>
      </c>
      <c r="D732" s="1" t="s">
        <v>76</v>
      </c>
      <c r="E732" s="1" t="s">
        <v>17</v>
      </c>
      <c r="F732" s="1" t="s">
        <v>32</v>
      </c>
      <c r="G732" s="10">
        <v>164301667</v>
      </c>
      <c r="H732" s="1">
        <v>83</v>
      </c>
      <c r="I732" s="1">
        <v>79</v>
      </c>
      <c r="J732" s="5">
        <v>34.200000000000003</v>
      </c>
      <c r="K732" s="1" t="s">
        <v>19</v>
      </c>
      <c r="L732" s="1" t="s">
        <v>19</v>
      </c>
      <c r="M732" s="10">
        <f t="shared" si="99"/>
        <v>4804142.30994152</v>
      </c>
      <c r="N732" s="10">
        <f t="shared" si="100"/>
        <v>1979538.156626506</v>
      </c>
      <c r="O732" s="1">
        <f t="shared" si="101"/>
        <v>11</v>
      </c>
      <c r="P732" s="1">
        <f t="shared" si="102"/>
        <v>15</v>
      </c>
      <c r="Q732" s="1">
        <f t="shared" si="103"/>
        <v>-4</v>
      </c>
      <c r="R732" s="6">
        <f t="shared" si="104"/>
        <v>0.51234567901234573</v>
      </c>
      <c r="S732" s="8">
        <f t="shared" si="105"/>
        <v>84.24366727052174</v>
      </c>
      <c r="T732" s="8">
        <f t="shared" si="106"/>
        <v>-1.2436672705217404</v>
      </c>
      <c r="U732" t="str">
        <f t="shared" si="107"/>
        <v>High</v>
      </c>
    </row>
    <row r="733" spans="1:21">
      <c r="A733" s="1">
        <v>103</v>
      </c>
      <c r="B733" s="2">
        <v>2024</v>
      </c>
      <c r="C733" s="1" t="s">
        <v>28</v>
      </c>
      <c r="D733" s="1" t="s">
        <v>29</v>
      </c>
      <c r="E733" s="1" t="s">
        <v>26</v>
      </c>
      <c r="F733" s="1" t="s">
        <v>27</v>
      </c>
      <c r="G733" s="10">
        <v>162324847</v>
      </c>
      <c r="H733" s="1">
        <v>81</v>
      </c>
      <c r="I733" s="1">
        <v>81</v>
      </c>
      <c r="J733" s="5">
        <v>34.700000000000003</v>
      </c>
      <c r="K733" s="1" t="s">
        <v>19</v>
      </c>
      <c r="L733" s="1" t="s">
        <v>19</v>
      </c>
      <c r="M733" s="10">
        <f t="shared" si="99"/>
        <v>4677949.481268011</v>
      </c>
      <c r="N733" s="10">
        <f t="shared" si="100"/>
        <v>2004010.4567901234</v>
      </c>
      <c r="O733" s="1">
        <f t="shared" si="101"/>
        <v>12</v>
      </c>
      <c r="P733" s="1">
        <f t="shared" si="102"/>
        <v>18</v>
      </c>
      <c r="Q733" s="1">
        <f t="shared" si="103"/>
        <v>-6</v>
      </c>
      <c r="R733" s="6">
        <f t="shared" si="104"/>
        <v>0.5</v>
      </c>
      <c r="S733" s="8">
        <f t="shared" si="105"/>
        <v>84.071080871461504</v>
      </c>
      <c r="T733" s="8">
        <f t="shared" si="106"/>
        <v>-3.0710808714615041</v>
      </c>
      <c r="U733" t="str">
        <f t="shared" si="107"/>
        <v>High</v>
      </c>
    </row>
    <row r="734" spans="1:21">
      <c r="A734" s="1">
        <v>337</v>
      </c>
      <c r="B734" s="2">
        <v>2024</v>
      </c>
      <c r="C734" s="1" t="s">
        <v>49</v>
      </c>
      <c r="D734" s="1" t="s">
        <v>50</v>
      </c>
      <c r="E734" s="1" t="s">
        <v>26</v>
      </c>
      <c r="F734" s="1" t="s">
        <v>46</v>
      </c>
      <c r="G734" s="10">
        <v>158818094</v>
      </c>
      <c r="H734" s="1">
        <v>63</v>
      </c>
      <c r="I734" s="1">
        <v>99</v>
      </c>
      <c r="J734" s="5">
        <v>23.1</v>
      </c>
      <c r="K734" s="1" t="s">
        <v>19</v>
      </c>
      <c r="L734" s="1" t="s">
        <v>19</v>
      </c>
      <c r="M734" s="10">
        <f t="shared" si="99"/>
        <v>6875242.1645021643</v>
      </c>
      <c r="N734" s="10">
        <f t="shared" si="100"/>
        <v>2520922.1269841269</v>
      </c>
      <c r="O734" s="1">
        <f t="shared" si="101"/>
        <v>13</v>
      </c>
      <c r="P734" s="1">
        <f t="shared" si="102"/>
        <v>27</v>
      </c>
      <c r="Q734" s="1">
        <f t="shared" si="103"/>
        <v>-14</v>
      </c>
      <c r="R734" s="6">
        <f t="shared" si="104"/>
        <v>0.3888888888888889</v>
      </c>
      <c r="S734" s="8">
        <f t="shared" si="105"/>
        <v>83.764923572029247</v>
      </c>
      <c r="T734" s="8">
        <f t="shared" si="106"/>
        <v>-20.764923572029247</v>
      </c>
      <c r="U734" t="str">
        <f t="shared" si="107"/>
        <v>High</v>
      </c>
    </row>
    <row r="735" spans="1:21">
      <c r="A735" s="1">
        <v>25</v>
      </c>
      <c r="B735" s="2">
        <v>2024</v>
      </c>
      <c r="C735" s="1" t="s">
        <v>15</v>
      </c>
      <c r="D735" s="1" t="s">
        <v>16</v>
      </c>
      <c r="E735" s="1" t="s">
        <v>17</v>
      </c>
      <c r="F735" s="1" t="s">
        <v>18</v>
      </c>
      <c r="G735" s="10">
        <v>156511716</v>
      </c>
      <c r="H735" s="1">
        <v>89</v>
      </c>
      <c r="I735" s="1">
        <v>73</v>
      </c>
      <c r="J735" s="5">
        <v>43.9</v>
      </c>
      <c r="K735" s="1" t="s">
        <v>19</v>
      </c>
      <c r="L735" s="1" t="s">
        <v>19</v>
      </c>
      <c r="M735" s="10">
        <f t="shared" si="99"/>
        <v>3565187.1526195901</v>
      </c>
      <c r="N735" s="10">
        <f t="shared" si="100"/>
        <v>1758558.606741573</v>
      </c>
      <c r="O735" s="1">
        <f t="shared" si="101"/>
        <v>14</v>
      </c>
      <c r="P735" s="1">
        <f t="shared" si="102"/>
        <v>8</v>
      </c>
      <c r="Q735" s="1">
        <f t="shared" si="103"/>
        <v>6</v>
      </c>
      <c r="R735" s="6">
        <f t="shared" si="104"/>
        <v>0.54938271604938271</v>
      </c>
      <c r="S735" s="8">
        <f t="shared" si="105"/>
        <v>83.563565090279894</v>
      </c>
      <c r="T735" s="8">
        <f t="shared" si="106"/>
        <v>5.4364349097201057</v>
      </c>
      <c r="U735" t="str">
        <f t="shared" si="107"/>
        <v>High</v>
      </c>
    </row>
    <row r="736" spans="1:21">
      <c r="A736" s="1">
        <v>597</v>
      </c>
      <c r="B736" s="2">
        <v>2024</v>
      </c>
      <c r="C736" s="1" t="s">
        <v>69</v>
      </c>
      <c r="D736" s="1" t="s">
        <v>70</v>
      </c>
      <c r="E736" s="1" t="s">
        <v>17</v>
      </c>
      <c r="F736" s="1" t="s">
        <v>18</v>
      </c>
      <c r="G736" s="10">
        <v>153765453</v>
      </c>
      <c r="H736" s="1">
        <v>93</v>
      </c>
      <c r="I736" s="1">
        <v>69</v>
      </c>
      <c r="J736" s="5">
        <v>48.2</v>
      </c>
      <c r="K736" s="1" t="s">
        <v>20</v>
      </c>
      <c r="L736" s="1" t="s">
        <v>19</v>
      </c>
      <c r="M736" s="10">
        <f t="shared" si="99"/>
        <v>3190154.6265560165</v>
      </c>
      <c r="N736" s="10">
        <f t="shared" si="100"/>
        <v>1653391.9677419355</v>
      </c>
      <c r="O736" s="1">
        <f t="shared" si="101"/>
        <v>15</v>
      </c>
      <c r="P736" s="1">
        <f t="shared" si="102"/>
        <v>4</v>
      </c>
      <c r="Q736" s="1">
        <f t="shared" si="103"/>
        <v>11</v>
      </c>
      <c r="R736" s="6">
        <f t="shared" si="104"/>
        <v>0.57407407407407407</v>
      </c>
      <c r="S736" s="8">
        <f t="shared" si="105"/>
        <v>83.323802419909114</v>
      </c>
      <c r="T736" s="8">
        <f t="shared" si="106"/>
        <v>9.6761975800908857</v>
      </c>
      <c r="U736" t="str">
        <f t="shared" si="107"/>
        <v>High</v>
      </c>
    </row>
    <row r="737" spans="1:21">
      <c r="A737" s="1">
        <v>233</v>
      </c>
      <c r="B737" s="2">
        <v>2024</v>
      </c>
      <c r="C737" s="1" t="s">
        <v>40</v>
      </c>
      <c r="D737" s="1" t="s">
        <v>41</v>
      </c>
      <c r="E737" s="1" t="s">
        <v>17</v>
      </c>
      <c r="F737" s="1" t="s">
        <v>18</v>
      </c>
      <c r="G737" s="10">
        <v>134099285</v>
      </c>
      <c r="H737" s="1">
        <v>61</v>
      </c>
      <c r="I737" s="1">
        <v>101</v>
      </c>
      <c r="J737" s="5">
        <v>18.399999999999999</v>
      </c>
      <c r="K737" s="1" t="s">
        <v>19</v>
      </c>
      <c r="L737" s="1" t="s">
        <v>19</v>
      </c>
      <c r="M737" s="10">
        <f t="shared" si="99"/>
        <v>7288004.6195652178</v>
      </c>
      <c r="N737" s="10">
        <f t="shared" si="100"/>
        <v>2198348.9344262294</v>
      </c>
      <c r="O737" s="1">
        <f t="shared" si="101"/>
        <v>16</v>
      </c>
      <c r="P737" s="1">
        <f t="shared" si="102"/>
        <v>29</v>
      </c>
      <c r="Q737" s="1">
        <f t="shared" si="103"/>
        <v>-13</v>
      </c>
      <c r="R737" s="6">
        <f t="shared" si="104"/>
        <v>0.37654320987654322</v>
      </c>
      <c r="S737" s="8">
        <f t="shared" si="105"/>
        <v>81.606846339722935</v>
      </c>
      <c r="T737" s="8">
        <f t="shared" si="106"/>
        <v>-20.606846339722935</v>
      </c>
      <c r="U737" t="str">
        <f t="shared" si="107"/>
        <v>Mid</v>
      </c>
    </row>
    <row r="738" spans="1:21">
      <c r="A738" s="1">
        <v>649</v>
      </c>
      <c r="B738" s="2">
        <v>2024</v>
      </c>
      <c r="C738" s="1" t="s">
        <v>73</v>
      </c>
      <c r="D738" s="1" t="s">
        <v>74</v>
      </c>
      <c r="E738" s="1" t="s">
        <v>26</v>
      </c>
      <c r="F738" s="1" t="s">
        <v>46</v>
      </c>
      <c r="G738" s="10">
        <v>129158333</v>
      </c>
      <c r="H738" s="1">
        <v>85</v>
      </c>
      <c r="I738" s="1">
        <v>77</v>
      </c>
      <c r="J738" s="5">
        <v>47.6</v>
      </c>
      <c r="K738" s="1" t="s">
        <v>19</v>
      </c>
      <c r="L738" s="1" t="s">
        <v>19</v>
      </c>
      <c r="M738" s="10">
        <f t="shared" si="99"/>
        <v>2713410.3571428573</v>
      </c>
      <c r="N738" s="10">
        <f t="shared" si="100"/>
        <v>1519509.8</v>
      </c>
      <c r="O738" s="1">
        <f t="shared" si="101"/>
        <v>17</v>
      </c>
      <c r="P738" s="1">
        <f t="shared" si="102"/>
        <v>14</v>
      </c>
      <c r="Q738" s="1">
        <f t="shared" si="103"/>
        <v>3</v>
      </c>
      <c r="R738" s="6">
        <f t="shared" si="104"/>
        <v>0.52469135802469136</v>
      </c>
      <c r="S738" s="8">
        <f t="shared" si="105"/>
        <v>81.175476203033966</v>
      </c>
      <c r="T738" s="8">
        <f t="shared" si="106"/>
        <v>3.8245237969660337</v>
      </c>
      <c r="U738" t="str">
        <f t="shared" si="107"/>
        <v>Mid</v>
      </c>
    </row>
    <row r="739" spans="1:21">
      <c r="A739" s="1">
        <v>441</v>
      </c>
      <c r="B739" s="2">
        <v>2024</v>
      </c>
      <c r="C739" s="1" t="s">
        <v>57</v>
      </c>
      <c r="D739" s="1" t="s">
        <v>58</v>
      </c>
      <c r="E739" s="1" t="s">
        <v>26</v>
      </c>
      <c r="F739" s="1" t="s">
        <v>35</v>
      </c>
      <c r="G739" s="10">
        <v>118886590</v>
      </c>
      <c r="H739" s="1">
        <v>82</v>
      </c>
      <c r="I739" s="1">
        <v>80</v>
      </c>
      <c r="J739" s="5">
        <v>38.9</v>
      </c>
      <c r="K739" s="1" t="s">
        <v>19</v>
      </c>
      <c r="L739" s="1" t="s">
        <v>19</v>
      </c>
      <c r="M739" s="10">
        <f t="shared" si="99"/>
        <v>3056210.5398457586</v>
      </c>
      <c r="N739" s="10">
        <f t="shared" si="100"/>
        <v>1449836.4634146341</v>
      </c>
      <c r="O739" s="1">
        <f t="shared" si="101"/>
        <v>18</v>
      </c>
      <c r="P739" s="1">
        <f t="shared" si="102"/>
        <v>17</v>
      </c>
      <c r="Q739" s="1">
        <f t="shared" si="103"/>
        <v>1</v>
      </c>
      <c r="R739" s="6">
        <f t="shared" si="104"/>
        <v>0.50617283950617287</v>
      </c>
      <c r="S739" s="8">
        <f t="shared" si="105"/>
        <v>80.278701010329428</v>
      </c>
      <c r="T739" s="8">
        <f t="shared" si="106"/>
        <v>1.7212989896705722</v>
      </c>
      <c r="U739" t="str">
        <f t="shared" si="107"/>
        <v>Mid</v>
      </c>
    </row>
    <row r="740" spans="1:21">
      <c r="A740" s="1">
        <v>155</v>
      </c>
      <c r="B740" s="2">
        <v>2024</v>
      </c>
      <c r="C740" s="1" t="s">
        <v>33</v>
      </c>
      <c r="D740" s="1" t="s">
        <v>34</v>
      </c>
      <c r="E740" s="1" t="s">
        <v>26</v>
      </c>
      <c r="F740" s="1" t="s">
        <v>35</v>
      </c>
      <c r="G740" s="10">
        <v>117773333</v>
      </c>
      <c r="H740" s="1">
        <v>41</v>
      </c>
      <c r="I740" s="1">
        <v>121</v>
      </c>
      <c r="J740" s="5">
        <v>10.5</v>
      </c>
      <c r="K740" s="1" t="s">
        <v>19</v>
      </c>
      <c r="L740" s="1" t="s">
        <v>19</v>
      </c>
      <c r="M740" s="10">
        <f t="shared" si="99"/>
        <v>11216507.904761905</v>
      </c>
      <c r="N740" s="10">
        <f t="shared" si="100"/>
        <v>2872520.3170731706</v>
      </c>
      <c r="O740" s="1">
        <f t="shared" si="101"/>
        <v>19</v>
      </c>
      <c r="P740" s="1">
        <f t="shared" si="102"/>
        <v>30</v>
      </c>
      <c r="Q740" s="1">
        <f t="shared" si="103"/>
        <v>-11</v>
      </c>
      <c r="R740" s="6">
        <f t="shared" si="104"/>
        <v>0.25308641975308643</v>
      </c>
      <c r="S740" s="8">
        <f t="shared" si="105"/>
        <v>80.181508035319766</v>
      </c>
      <c r="T740" s="8">
        <f t="shared" si="106"/>
        <v>-39.181508035319766</v>
      </c>
      <c r="U740" t="str">
        <f t="shared" si="107"/>
        <v>Mid</v>
      </c>
    </row>
    <row r="741" spans="1:21">
      <c r="A741" s="1">
        <v>311</v>
      </c>
      <c r="B741" s="2">
        <v>2024</v>
      </c>
      <c r="C741" s="1" t="s">
        <v>47</v>
      </c>
      <c r="D741" s="1" t="s">
        <v>48</v>
      </c>
      <c r="E741" s="1" t="s">
        <v>26</v>
      </c>
      <c r="F741" s="1" t="s">
        <v>35</v>
      </c>
      <c r="G741" s="10">
        <v>105219570</v>
      </c>
      <c r="H741" s="1">
        <v>86</v>
      </c>
      <c r="I741" s="1">
        <v>76</v>
      </c>
      <c r="J741" s="5">
        <v>45.6</v>
      </c>
      <c r="K741" s="1" t="s">
        <v>20</v>
      </c>
      <c r="L741" s="1" t="s">
        <v>19</v>
      </c>
      <c r="M741" s="10">
        <f t="shared" si="99"/>
        <v>2307446.7105263155</v>
      </c>
      <c r="N741" s="10">
        <f t="shared" si="100"/>
        <v>1223483.3720930233</v>
      </c>
      <c r="O741" s="1">
        <f t="shared" si="101"/>
        <v>20</v>
      </c>
      <c r="P741" s="1">
        <f t="shared" si="102"/>
        <v>12</v>
      </c>
      <c r="Q741" s="1">
        <f t="shared" si="103"/>
        <v>8</v>
      </c>
      <c r="R741" s="6">
        <f t="shared" si="104"/>
        <v>0.53086419753086422</v>
      </c>
      <c r="S741" s="8">
        <f t="shared" si="105"/>
        <v>79.085500937644895</v>
      </c>
      <c r="T741" s="8">
        <f t="shared" si="106"/>
        <v>6.9144990623551053</v>
      </c>
      <c r="U741" t="str">
        <f t="shared" si="107"/>
        <v>Mid</v>
      </c>
    </row>
    <row r="742" spans="1:21">
      <c r="A742" s="1">
        <v>779</v>
      </c>
      <c r="B742" s="2">
        <v>2024</v>
      </c>
      <c r="C742" s="1" t="s">
        <v>83</v>
      </c>
      <c r="D742" s="1" t="s">
        <v>84</v>
      </c>
      <c r="E742" s="1" t="s">
        <v>17</v>
      </c>
      <c r="F742" s="1" t="s">
        <v>23</v>
      </c>
      <c r="G742" s="10">
        <v>95371429</v>
      </c>
      <c r="H742" s="1">
        <v>71</v>
      </c>
      <c r="I742" s="1">
        <v>91</v>
      </c>
      <c r="J742" s="5">
        <v>25.2</v>
      </c>
      <c r="K742" s="1" t="s">
        <v>19</v>
      </c>
      <c r="L742" s="1" t="s">
        <v>19</v>
      </c>
      <c r="M742" s="10">
        <f t="shared" si="99"/>
        <v>3784580.5158730159</v>
      </c>
      <c r="N742" s="10">
        <f t="shared" si="100"/>
        <v>1343259.5633802817</v>
      </c>
      <c r="O742" s="1">
        <f t="shared" si="101"/>
        <v>21</v>
      </c>
      <c r="P742" s="1">
        <f t="shared" si="102"/>
        <v>25</v>
      </c>
      <c r="Q742" s="1">
        <f t="shared" si="103"/>
        <v>-4</v>
      </c>
      <c r="R742" s="6">
        <f t="shared" si="104"/>
        <v>0.43827160493827161</v>
      </c>
      <c r="S742" s="8">
        <f t="shared" si="105"/>
        <v>78.225708345184543</v>
      </c>
      <c r="T742" s="8">
        <f t="shared" si="106"/>
        <v>-7.2257083451845432</v>
      </c>
      <c r="U742" t="str">
        <f t="shared" si="107"/>
        <v>Mid</v>
      </c>
    </row>
    <row r="743" spans="1:21">
      <c r="A743" s="1">
        <v>259</v>
      </c>
      <c r="B743" s="2">
        <v>2024</v>
      </c>
      <c r="C743" s="1" t="s">
        <v>42</v>
      </c>
      <c r="D743" s="1" t="s">
        <v>43</v>
      </c>
      <c r="E743" s="1" t="s">
        <v>26</v>
      </c>
      <c r="F743" s="1" t="s">
        <v>35</v>
      </c>
      <c r="G743" s="10">
        <v>95073933</v>
      </c>
      <c r="H743" s="1">
        <v>86</v>
      </c>
      <c r="I743" s="1">
        <v>76</v>
      </c>
      <c r="J743" s="5">
        <v>39.5</v>
      </c>
      <c r="K743" s="1" t="s">
        <v>20</v>
      </c>
      <c r="L743" s="1" t="s">
        <v>19</v>
      </c>
      <c r="M743" s="10">
        <f t="shared" si="99"/>
        <v>2406935.0126582277</v>
      </c>
      <c r="N743" s="10">
        <f t="shared" si="100"/>
        <v>1105510.8488372094</v>
      </c>
      <c r="O743" s="1">
        <f t="shared" si="101"/>
        <v>22</v>
      </c>
      <c r="P743" s="1">
        <f t="shared" si="102"/>
        <v>12</v>
      </c>
      <c r="Q743" s="1">
        <f t="shared" si="103"/>
        <v>10</v>
      </c>
      <c r="R743" s="6">
        <f t="shared" si="104"/>
        <v>0.53086419753086422</v>
      </c>
      <c r="S743" s="8">
        <f t="shared" si="105"/>
        <v>78.199735437497026</v>
      </c>
      <c r="T743" s="8">
        <f t="shared" si="106"/>
        <v>7.8002645625029743</v>
      </c>
      <c r="U743" t="str">
        <f t="shared" si="107"/>
        <v>Mid</v>
      </c>
    </row>
    <row r="744" spans="1:21">
      <c r="A744" s="1">
        <v>77</v>
      </c>
      <c r="B744" s="2">
        <v>2024</v>
      </c>
      <c r="C744" s="1" t="s">
        <v>24</v>
      </c>
      <c r="D744" s="1" t="s">
        <v>25</v>
      </c>
      <c r="E744" s="1" t="s">
        <v>26</v>
      </c>
      <c r="F744" s="1" t="s">
        <v>27</v>
      </c>
      <c r="G744" s="10">
        <v>94495168</v>
      </c>
      <c r="H744" s="1">
        <v>91</v>
      </c>
      <c r="I744" s="1">
        <v>71</v>
      </c>
      <c r="J744" s="5">
        <v>42.2</v>
      </c>
      <c r="K744" s="1" t="s">
        <v>20</v>
      </c>
      <c r="L744" s="1" t="s">
        <v>19</v>
      </c>
      <c r="M744" s="10">
        <f t="shared" si="99"/>
        <v>2239221.9905213267</v>
      </c>
      <c r="N744" s="10">
        <f t="shared" si="100"/>
        <v>1038408.4395604396</v>
      </c>
      <c r="O744" s="1">
        <f t="shared" si="101"/>
        <v>23</v>
      </c>
      <c r="P744" s="1">
        <f t="shared" si="102"/>
        <v>7</v>
      </c>
      <c r="Q744" s="1">
        <f t="shared" si="103"/>
        <v>16</v>
      </c>
      <c r="R744" s="6">
        <f t="shared" si="104"/>
        <v>0.56172839506172845</v>
      </c>
      <c r="S744" s="8">
        <f t="shared" si="105"/>
        <v>78.149206321415605</v>
      </c>
      <c r="T744" s="8">
        <f t="shared" si="106"/>
        <v>12.850793678584395</v>
      </c>
      <c r="U744" t="str">
        <f t="shared" si="107"/>
        <v>Mid</v>
      </c>
    </row>
    <row r="745" spans="1:21">
      <c r="A745" s="1">
        <v>415</v>
      </c>
      <c r="B745" s="2">
        <v>2024</v>
      </c>
      <c r="C745" s="1" t="s">
        <v>55</v>
      </c>
      <c r="D745" s="1" t="s">
        <v>56</v>
      </c>
      <c r="E745" s="1" t="s">
        <v>17</v>
      </c>
      <c r="F745" s="1" t="s">
        <v>32</v>
      </c>
      <c r="G745" s="10">
        <v>94484960</v>
      </c>
      <c r="H745" s="1">
        <v>93</v>
      </c>
      <c r="I745" s="1">
        <v>69</v>
      </c>
      <c r="J745" s="5">
        <v>44.1</v>
      </c>
      <c r="K745" s="1" t="s">
        <v>20</v>
      </c>
      <c r="L745" s="1" t="s">
        <v>19</v>
      </c>
      <c r="M745" s="10">
        <f t="shared" si="99"/>
        <v>2142516.0997732426</v>
      </c>
      <c r="N745" s="10">
        <f t="shared" si="100"/>
        <v>1015967.3118279569</v>
      </c>
      <c r="O745" s="1">
        <f t="shared" si="101"/>
        <v>24</v>
      </c>
      <c r="P745" s="1">
        <f t="shared" si="102"/>
        <v>4</v>
      </c>
      <c r="Q745" s="1">
        <f t="shared" si="103"/>
        <v>20</v>
      </c>
      <c r="R745" s="6">
        <f t="shared" si="104"/>
        <v>0.57407407407407407</v>
      </c>
      <c r="S745" s="8">
        <f t="shared" si="105"/>
        <v>78.148315111309671</v>
      </c>
      <c r="T745" s="8">
        <f t="shared" si="106"/>
        <v>14.851684888690329</v>
      </c>
      <c r="U745" t="str">
        <f t="shared" si="107"/>
        <v>Mid</v>
      </c>
    </row>
    <row r="746" spans="1:21">
      <c r="A746" s="1">
        <v>181</v>
      </c>
      <c r="B746" s="2">
        <v>2024</v>
      </c>
      <c r="C746" s="1" t="s">
        <v>36</v>
      </c>
      <c r="D746" s="1" t="s">
        <v>37</v>
      </c>
      <c r="E746" s="1" t="s">
        <v>17</v>
      </c>
      <c r="F746" s="1" t="s">
        <v>32</v>
      </c>
      <c r="G746" s="10">
        <v>88123333</v>
      </c>
      <c r="H746" s="1">
        <v>77</v>
      </c>
      <c r="I746" s="1">
        <v>85</v>
      </c>
      <c r="J746" s="5">
        <v>31.3</v>
      </c>
      <c r="K746" s="1" t="s">
        <v>19</v>
      </c>
      <c r="L746" s="1" t="s">
        <v>19</v>
      </c>
      <c r="M746" s="10">
        <f t="shared" si="99"/>
        <v>2815441.9488817891</v>
      </c>
      <c r="N746" s="10">
        <f t="shared" si="100"/>
        <v>1144458.87012987</v>
      </c>
      <c r="O746" s="1">
        <f t="shared" si="101"/>
        <v>25</v>
      </c>
      <c r="P746" s="1">
        <f t="shared" si="102"/>
        <v>22</v>
      </c>
      <c r="Q746" s="1">
        <f t="shared" si="103"/>
        <v>3</v>
      </c>
      <c r="R746" s="6">
        <f t="shared" si="104"/>
        <v>0.47530864197530864</v>
      </c>
      <c r="S746" s="8">
        <f t="shared" si="105"/>
        <v>77.592912851066259</v>
      </c>
      <c r="T746" s="8">
        <f t="shared" si="106"/>
        <v>-0.59291285106625935</v>
      </c>
      <c r="U746" t="str">
        <f t="shared" si="107"/>
        <v>Mid</v>
      </c>
    </row>
    <row r="747" spans="1:21">
      <c r="A747" s="1">
        <v>701</v>
      </c>
      <c r="B747" s="2">
        <v>2024</v>
      </c>
      <c r="C747" s="1" t="s">
        <v>77</v>
      </c>
      <c r="D747" s="1" t="s">
        <v>78</v>
      </c>
      <c r="E747" s="1" t="s">
        <v>26</v>
      </c>
      <c r="F747" s="1" t="s">
        <v>27</v>
      </c>
      <c r="G747" s="10">
        <v>88066012</v>
      </c>
      <c r="H747" s="1">
        <v>80</v>
      </c>
      <c r="I747" s="1">
        <v>82</v>
      </c>
      <c r="J747" s="5">
        <v>33.9</v>
      </c>
      <c r="K747" s="1" t="s">
        <v>19</v>
      </c>
      <c r="L747" s="1" t="s">
        <v>19</v>
      </c>
      <c r="M747" s="10">
        <f t="shared" si="99"/>
        <v>2597817.4631268438</v>
      </c>
      <c r="N747" s="10">
        <f t="shared" si="100"/>
        <v>1100825.1499999999</v>
      </c>
      <c r="O747" s="1">
        <f t="shared" si="101"/>
        <v>26</v>
      </c>
      <c r="P747" s="1">
        <f t="shared" si="102"/>
        <v>19</v>
      </c>
      <c r="Q747" s="1">
        <f t="shared" si="103"/>
        <v>7</v>
      </c>
      <c r="R747" s="6">
        <f t="shared" si="104"/>
        <v>0.49382716049382713</v>
      </c>
      <c r="S747" s="8">
        <f t="shared" si="105"/>
        <v>77.587908437421859</v>
      </c>
      <c r="T747" s="8">
        <f t="shared" si="106"/>
        <v>2.4120915625781407</v>
      </c>
      <c r="U747" t="str">
        <f t="shared" si="107"/>
        <v>Mid</v>
      </c>
    </row>
    <row r="748" spans="1:21">
      <c r="A748" s="1">
        <v>207</v>
      </c>
      <c r="B748" s="2">
        <v>2024</v>
      </c>
      <c r="C748" s="1" t="s">
        <v>38</v>
      </c>
      <c r="D748" s="1" t="s">
        <v>39</v>
      </c>
      <c r="E748" s="1" t="s">
        <v>26</v>
      </c>
      <c r="F748" s="1" t="s">
        <v>35</v>
      </c>
      <c r="G748" s="10">
        <v>86433928</v>
      </c>
      <c r="H748" s="1">
        <v>92</v>
      </c>
      <c r="I748" s="1">
        <v>69</v>
      </c>
      <c r="J748" s="5">
        <v>44.2</v>
      </c>
      <c r="K748" s="1" t="s">
        <v>20</v>
      </c>
      <c r="L748" s="1" t="s">
        <v>19</v>
      </c>
      <c r="M748" s="10">
        <f t="shared" si="99"/>
        <v>1955518.7330316741</v>
      </c>
      <c r="N748" s="10">
        <f t="shared" si="100"/>
        <v>939499.21739130432</v>
      </c>
      <c r="O748" s="1">
        <f t="shared" si="101"/>
        <v>27</v>
      </c>
      <c r="P748" s="1">
        <f t="shared" si="102"/>
        <v>6</v>
      </c>
      <c r="Q748" s="1">
        <f t="shared" si="103"/>
        <v>21</v>
      </c>
      <c r="R748" s="6">
        <f t="shared" si="104"/>
        <v>0.5714285714285714</v>
      </c>
      <c r="S748" s="8">
        <f t="shared" si="105"/>
        <v>77.445419237330881</v>
      </c>
      <c r="T748" s="8">
        <f t="shared" si="106"/>
        <v>14.554580762669119</v>
      </c>
      <c r="U748" t="str">
        <f t="shared" si="107"/>
        <v>Mid</v>
      </c>
    </row>
    <row r="749" spans="1:21">
      <c r="A749" s="1">
        <v>389</v>
      </c>
      <c r="B749" s="2">
        <v>2024</v>
      </c>
      <c r="C749" s="1" t="s">
        <v>53</v>
      </c>
      <c r="D749" s="1" t="s">
        <v>54</v>
      </c>
      <c r="E749" s="1" t="s">
        <v>17</v>
      </c>
      <c r="F749" s="1" t="s">
        <v>23</v>
      </c>
      <c r="G749" s="10">
        <v>83710000</v>
      </c>
      <c r="H749" s="1">
        <v>62</v>
      </c>
      <c r="I749" s="1">
        <v>100</v>
      </c>
      <c r="J749" s="5">
        <v>16.5</v>
      </c>
      <c r="K749" s="1" t="s">
        <v>19</v>
      </c>
      <c r="L749" s="1" t="s">
        <v>19</v>
      </c>
      <c r="M749" s="10">
        <f t="shared" si="99"/>
        <v>5073333.333333333</v>
      </c>
      <c r="N749" s="10">
        <f t="shared" si="100"/>
        <v>1350161.2903225806</v>
      </c>
      <c r="O749" s="1">
        <f t="shared" si="101"/>
        <v>28</v>
      </c>
      <c r="P749" s="1">
        <f t="shared" si="102"/>
        <v>28</v>
      </c>
      <c r="Q749" s="1">
        <f t="shared" si="103"/>
        <v>0</v>
      </c>
      <c r="R749" s="6">
        <f t="shared" si="104"/>
        <v>0.38271604938271603</v>
      </c>
      <c r="S749" s="8">
        <f t="shared" si="105"/>
        <v>77.207606525592155</v>
      </c>
      <c r="T749" s="8">
        <f t="shared" si="106"/>
        <v>-15.207606525592155</v>
      </c>
      <c r="U749" t="str">
        <f t="shared" si="107"/>
        <v>Mid</v>
      </c>
    </row>
    <row r="750" spans="1:21">
      <c r="A750" s="1">
        <v>571</v>
      </c>
      <c r="B750" s="2">
        <v>2024</v>
      </c>
      <c r="C750" s="1" t="s">
        <v>67</v>
      </c>
      <c r="D750" s="1" t="s">
        <v>68</v>
      </c>
      <c r="E750" s="1" t="s">
        <v>17</v>
      </c>
      <c r="F750" s="1" t="s">
        <v>32</v>
      </c>
      <c r="G750" s="10">
        <v>72014000</v>
      </c>
      <c r="H750" s="1">
        <v>76</v>
      </c>
      <c r="I750" s="1">
        <v>86</v>
      </c>
      <c r="J750" s="5">
        <v>31.4</v>
      </c>
      <c r="K750" s="1" t="s">
        <v>19</v>
      </c>
      <c r="L750" s="1" t="s">
        <v>19</v>
      </c>
      <c r="M750" s="10">
        <f t="shared" si="99"/>
        <v>2293439.4904458602</v>
      </c>
      <c r="N750" s="10">
        <f t="shared" si="100"/>
        <v>947552.63157894742</v>
      </c>
      <c r="O750" s="1">
        <f t="shared" si="101"/>
        <v>29</v>
      </c>
      <c r="P750" s="1">
        <f t="shared" si="102"/>
        <v>23</v>
      </c>
      <c r="Q750" s="1">
        <f t="shared" si="103"/>
        <v>6</v>
      </c>
      <c r="R750" s="6">
        <f t="shared" si="104"/>
        <v>0.46913580246913578</v>
      </c>
      <c r="S750" s="8">
        <f t="shared" si="105"/>
        <v>76.186486482589501</v>
      </c>
      <c r="T750" s="8">
        <f t="shared" si="106"/>
        <v>-0.18648648258950118</v>
      </c>
      <c r="U750" t="str">
        <f t="shared" si="107"/>
        <v>Low</v>
      </c>
    </row>
    <row r="751" spans="1:21">
      <c r="A751" s="1">
        <v>519</v>
      </c>
      <c r="B751" s="2">
        <v>2024</v>
      </c>
      <c r="C751" s="1" t="s">
        <v>63</v>
      </c>
      <c r="D751" s="1" t="s">
        <v>64</v>
      </c>
      <c r="E751" s="1" t="s">
        <v>26</v>
      </c>
      <c r="F751" s="1" t="s">
        <v>46</v>
      </c>
      <c r="G751" s="10">
        <v>47905000</v>
      </c>
      <c r="H751" s="1">
        <v>69</v>
      </c>
      <c r="I751" s="1">
        <v>93</v>
      </c>
      <c r="J751" s="5">
        <v>26.4</v>
      </c>
      <c r="K751" s="1" t="s">
        <v>19</v>
      </c>
      <c r="L751" s="1" t="s">
        <v>19</v>
      </c>
      <c r="M751" s="10">
        <f t="shared" si="99"/>
        <v>1814583.3333333335</v>
      </c>
      <c r="N751" s="10">
        <f t="shared" si="100"/>
        <v>694275.36231884058</v>
      </c>
      <c r="O751" s="1">
        <f t="shared" si="101"/>
        <v>30</v>
      </c>
      <c r="P751" s="1">
        <f t="shared" si="102"/>
        <v>26</v>
      </c>
      <c r="Q751" s="1">
        <f t="shared" si="103"/>
        <v>4</v>
      </c>
      <c r="R751" s="6">
        <f t="shared" si="104"/>
        <v>0.42592592592592593</v>
      </c>
      <c r="S751" s="8">
        <f t="shared" si="105"/>
        <v>74.081648664809805</v>
      </c>
      <c r="T751" s="8">
        <f t="shared" si="106"/>
        <v>-5.0816486648098049</v>
      </c>
      <c r="U751" t="str">
        <f t="shared" si="107"/>
        <v>Low</v>
      </c>
    </row>
    <row r="752" spans="1:21">
      <c r="A752" s="1">
        <v>468</v>
      </c>
      <c r="B752" s="2">
        <v>2025</v>
      </c>
      <c r="C752" s="1" t="s">
        <v>59</v>
      </c>
      <c r="D752" s="1" t="s">
        <v>60</v>
      </c>
      <c r="E752" s="1" t="s">
        <v>17</v>
      </c>
      <c r="F752" s="1" t="s">
        <v>23</v>
      </c>
      <c r="G752" s="10">
        <v>322589724</v>
      </c>
      <c r="H752" s="1">
        <v>83</v>
      </c>
      <c r="I752" s="1">
        <v>79</v>
      </c>
      <c r="J752" s="5">
        <v>47.2</v>
      </c>
      <c r="K752" s="1" t="s">
        <v>19</v>
      </c>
      <c r="L752" s="1" t="s">
        <v>19</v>
      </c>
      <c r="M752" s="10">
        <f t="shared" si="99"/>
        <v>6834528.0508474568</v>
      </c>
      <c r="N752" s="10">
        <f t="shared" si="100"/>
        <v>3886623.1807228914</v>
      </c>
      <c r="O752" s="1">
        <f t="shared" si="101"/>
        <v>1</v>
      </c>
      <c r="P752" s="1">
        <f t="shared" si="102"/>
        <v>13</v>
      </c>
      <c r="Q752" s="1">
        <f t="shared" si="103"/>
        <v>-12</v>
      </c>
      <c r="R752" s="6">
        <f t="shared" si="104"/>
        <v>0.51234567901234573</v>
      </c>
      <c r="S752" s="8">
        <f t="shared" si="105"/>
        <v>98.063016413019014</v>
      </c>
      <c r="T752" s="8">
        <f t="shared" si="106"/>
        <v>-15.063016413019014</v>
      </c>
      <c r="U752" t="str">
        <f t="shared" si="107"/>
        <v>High</v>
      </c>
    </row>
    <row r="753" spans="1:21">
      <c r="A753" s="1">
        <v>364</v>
      </c>
      <c r="B753" s="2">
        <v>2025</v>
      </c>
      <c r="C753" s="1" t="s">
        <v>51</v>
      </c>
      <c r="D753" s="1" t="s">
        <v>52</v>
      </c>
      <c r="E753" s="1" t="s">
        <v>17</v>
      </c>
      <c r="F753" s="1" t="s">
        <v>18</v>
      </c>
      <c r="G753" s="10">
        <v>319537290</v>
      </c>
      <c r="H753" s="1">
        <v>93</v>
      </c>
      <c r="I753" s="1">
        <v>69</v>
      </c>
      <c r="J753" s="5">
        <v>56.4</v>
      </c>
      <c r="K753" s="1" t="s">
        <v>20</v>
      </c>
      <c r="L753" s="1" t="s">
        <v>20</v>
      </c>
      <c r="M753" s="10">
        <f t="shared" si="99"/>
        <v>5665554.7872340428</v>
      </c>
      <c r="N753" s="10">
        <f t="shared" si="100"/>
        <v>3435884.8387096776</v>
      </c>
      <c r="O753" s="1">
        <f t="shared" si="101"/>
        <v>2</v>
      </c>
      <c r="P753" s="1">
        <f t="shared" si="102"/>
        <v>5</v>
      </c>
      <c r="Q753" s="1">
        <f t="shared" si="103"/>
        <v>-3</v>
      </c>
      <c r="R753" s="6">
        <f t="shared" si="104"/>
        <v>0.57407407407407407</v>
      </c>
      <c r="S753" s="8">
        <f t="shared" si="105"/>
        <v>97.796523463519804</v>
      </c>
      <c r="T753" s="8">
        <f t="shared" si="106"/>
        <v>-4.7965234635198044</v>
      </c>
      <c r="U753" t="str">
        <f t="shared" si="107"/>
        <v>High</v>
      </c>
    </row>
    <row r="754" spans="1:21">
      <c r="A754" s="1">
        <v>494</v>
      </c>
      <c r="B754" s="2">
        <v>2025</v>
      </c>
      <c r="C754" s="1" t="s">
        <v>61</v>
      </c>
      <c r="D754" s="1" t="s">
        <v>62</v>
      </c>
      <c r="E754" s="1" t="s">
        <v>26</v>
      </c>
      <c r="F754" s="1" t="s">
        <v>27</v>
      </c>
      <c r="G754" s="10">
        <v>284815172</v>
      </c>
      <c r="H754" s="1">
        <v>94</v>
      </c>
      <c r="I754" s="1">
        <v>68</v>
      </c>
      <c r="J754" s="5">
        <v>47.4</v>
      </c>
      <c r="K754" s="1" t="s">
        <v>20</v>
      </c>
      <c r="L754" s="1" t="s">
        <v>19</v>
      </c>
      <c r="M754" s="10">
        <f t="shared" si="99"/>
        <v>6008758.9029535865</v>
      </c>
      <c r="N754" s="10">
        <f t="shared" si="100"/>
        <v>3029948.6382978722</v>
      </c>
      <c r="O754" s="1">
        <f t="shared" si="101"/>
        <v>3</v>
      </c>
      <c r="P754" s="1">
        <f t="shared" si="102"/>
        <v>3</v>
      </c>
      <c r="Q754" s="1">
        <f t="shared" si="103"/>
        <v>0</v>
      </c>
      <c r="R754" s="6">
        <f t="shared" si="104"/>
        <v>0.58024691358024694</v>
      </c>
      <c r="S754" s="8">
        <f t="shared" si="105"/>
        <v>94.765106686390567</v>
      </c>
      <c r="T754" s="8">
        <f t="shared" si="106"/>
        <v>-0.76510668639056689</v>
      </c>
      <c r="U754" t="str">
        <f t="shared" si="107"/>
        <v>High</v>
      </c>
    </row>
    <row r="755" spans="1:21">
      <c r="A755" s="1">
        <v>546</v>
      </c>
      <c r="B755" s="2">
        <v>2025</v>
      </c>
      <c r="C755" s="1" t="s">
        <v>65</v>
      </c>
      <c r="D755" s="1" t="s">
        <v>66</v>
      </c>
      <c r="E755" s="1" t="s">
        <v>17</v>
      </c>
      <c r="F755" s="1" t="s">
        <v>23</v>
      </c>
      <c r="G755" s="10">
        <v>283990117</v>
      </c>
      <c r="H755" s="1">
        <v>96</v>
      </c>
      <c r="I755" s="1">
        <v>66</v>
      </c>
      <c r="J755" s="5">
        <v>46.8</v>
      </c>
      <c r="K755" s="1" t="s">
        <v>20</v>
      </c>
      <c r="L755" s="1" t="s">
        <v>19</v>
      </c>
      <c r="M755" s="10">
        <f t="shared" si="99"/>
        <v>6068164.8931623939</v>
      </c>
      <c r="N755" s="10">
        <f t="shared" si="100"/>
        <v>2958230.3854166665</v>
      </c>
      <c r="O755" s="1">
        <f t="shared" si="101"/>
        <v>4</v>
      </c>
      <c r="P755" s="1">
        <f t="shared" si="102"/>
        <v>2</v>
      </c>
      <c r="Q755" s="1">
        <f t="shared" si="103"/>
        <v>2</v>
      </c>
      <c r="R755" s="6">
        <f t="shared" si="104"/>
        <v>0.59259259259259256</v>
      </c>
      <c r="S755" s="8">
        <f t="shared" si="105"/>
        <v>94.693075205792098</v>
      </c>
      <c r="T755" s="8">
        <f t="shared" si="106"/>
        <v>1.3069247942079016</v>
      </c>
      <c r="U755" t="str">
        <f t="shared" si="107"/>
        <v>High</v>
      </c>
    </row>
    <row r="756" spans="1:21">
      <c r="A756" s="1">
        <v>754</v>
      </c>
      <c r="B756" s="2">
        <v>2025</v>
      </c>
      <c r="C756" s="1" t="s">
        <v>81</v>
      </c>
      <c r="D756" s="1" t="s">
        <v>82</v>
      </c>
      <c r="E756" s="1" t="s">
        <v>26</v>
      </c>
      <c r="F756" s="1" t="s">
        <v>27</v>
      </c>
      <c r="G756" s="10">
        <v>239242531</v>
      </c>
      <c r="H756" s="1">
        <v>94</v>
      </c>
      <c r="I756" s="1">
        <v>68</v>
      </c>
      <c r="J756" s="5">
        <v>47.9</v>
      </c>
      <c r="K756" s="1" t="s">
        <v>20</v>
      </c>
      <c r="L756" s="1" t="s">
        <v>19</v>
      </c>
      <c r="M756" s="10">
        <f t="shared" si="99"/>
        <v>4994624.8643006263</v>
      </c>
      <c r="N756" s="10">
        <f t="shared" si="100"/>
        <v>2545133.3085106383</v>
      </c>
      <c r="O756" s="1">
        <f t="shared" si="101"/>
        <v>5</v>
      </c>
      <c r="P756" s="1">
        <f t="shared" si="102"/>
        <v>3</v>
      </c>
      <c r="Q756" s="1">
        <f t="shared" si="103"/>
        <v>2</v>
      </c>
      <c r="R756" s="6">
        <f t="shared" si="104"/>
        <v>0.58024691358024694</v>
      </c>
      <c r="S756" s="8">
        <f t="shared" si="105"/>
        <v>90.786384290899377</v>
      </c>
      <c r="T756" s="8">
        <f t="shared" si="106"/>
        <v>3.2136157091006226</v>
      </c>
      <c r="U756" t="str">
        <f t="shared" si="107"/>
        <v>High</v>
      </c>
    </row>
    <row r="757" spans="1:21">
      <c r="A757" s="1">
        <v>286</v>
      </c>
      <c r="B757" s="2">
        <v>2025</v>
      </c>
      <c r="C757" s="1" t="s">
        <v>44</v>
      </c>
      <c r="D757" s="1" t="s">
        <v>45</v>
      </c>
      <c r="E757" s="1" t="s">
        <v>26</v>
      </c>
      <c r="F757" s="1" t="s">
        <v>46</v>
      </c>
      <c r="G757" s="10">
        <v>220217013</v>
      </c>
      <c r="H757" s="1">
        <v>87</v>
      </c>
      <c r="I757" s="1">
        <v>75</v>
      </c>
      <c r="J757" s="5">
        <v>41</v>
      </c>
      <c r="K757" s="1" t="s">
        <v>19</v>
      </c>
      <c r="L757" s="1" t="s">
        <v>19</v>
      </c>
      <c r="M757" s="10">
        <f t="shared" si="99"/>
        <v>5371146.658536585</v>
      </c>
      <c r="N757" s="10">
        <f t="shared" si="100"/>
        <v>2531230.0344827585</v>
      </c>
      <c r="O757" s="1">
        <f t="shared" si="101"/>
        <v>6</v>
      </c>
      <c r="P757" s="1">
        <f t="shared" si="102"/>
        <v>11</v>
      </c>
      <c r="Q757" s="1">
        <f t="shared" si="103"/>
        <v>-5</v>
      </c>
      <c r="R757" s="6">
        <f t="shared" si="104"/>
        <v>0.53703703703703709</v>
      </c>
      <c r="S757" s="8">
        <f t="shared" si="105"/>
        <v>89.125360200756759</v>
      </c>
      <c r="T757" s="8">
        <f t="shared" si="106"/>
        <v>-2.1253602007567594</v>
      </c>
      <c r="U757" t="str">
        <f t="shared" si="107"/>
        <v>High</v>
      </c>
    </row>
    <row r="758" spans="1:21">
      <c r="A758" s="1">
        <v>728</v>
      </c>
      <c r="B758" s="2">
        <v>2025</v>
      </c>
      <c r="C758" s="1" t="s">
        <v>79</v>
      </c>
      <c r="D758" s="1" t="s">
        <v>80</v>
      </c>
      <c r="E758" s="1" t="s">
        <v>26</v>
      </c>
      <c r="F758" s="1" t="s">
        <v>46</v>
      </c>
      <c r="G758" s="10">
        <v>217506332</v>
      </c>
      <c r="H758" s="1">
        <v>81</v>
      </c>
      <c r="I758" s="1">
        <v>81</v>
      </c>
      <c r="J758" s="5">
        <v>39.799999999999997</v>
      </c>
      <c r="K758" s="1" t="s">
        <v>19</v>
      </c>
      <c r="L758" s="1" t="s">
        <v>19</v>
      </c>
      <c r="M758" s="10">
        <f t="shared" si="99"/>
        <v>5464983.216080402</v>
      </c>
      <c r="N758" s="10">
        <f t="shared" si="100"/>
        <v>2685263.3580246912</v>
      </c>
      <c r="O758" s="1">
        <f t="shared" si="101"/>
        <v>7</v>
      </c>
      <c r="P758" s="1">
        <f t="shared" si="102"/>
        <v>16</v>
      </c>
      <c r="Q758" s="1">
        <f t="shared" si="103"/>
        <v>-9</v>
      </c>
      <c r="R758" s="6">
        <f t="shared" si="104"/>
        <v>0.5</v>
      </c>
      <c r="S758" s="8">
        <f t="shared" si="105"/>
        <v>88.888704019217215</v>
      </c>
      <c r="T758" s="8">
        <f t="shared" si="106"/>
        <v>-7.8887040192172151</v>
      </c>
      <c r="U758" t="str">
        <f t="shared" si="107"/>
        <v>High</v>
      </c>
    </row>
    <row r="759" spans="1:21">
      <c r="A759" s="1">
        <v>598</v>
      </c>
      <c r="B759" s="2">
        <v>2025</v>
      </c>
      <c r="C759" s="1" t="s">
        <v>69</v>
      </c>
      <c r="D759" s="1" t="s">
        <v>70</v>
      </c>
      <c r="E759" s="1" t="s">
        <v>17</v>
      </c>
      <c r="F759" s="1" t="s">
        <v>18</v>
      </c>
      <c r="G759" s="10">
        <v>208771455</v>
      </c>
      <c r="H759" s="1">
        <v>90</v>
      </c>
      <c r="I759" s="1">
        <v>72</v>
      </c>
      <c r="J759" s="5">
        <v>40.700000000000003</v>
      </c>
      <c r="K759" s="1" t="s">
        <v>20</v>
      </c>
      <c r="L759" s="1" t="s">
        <v>19</v>
      </c>
      <c r="M759" s="10">
        <f t="shared" si="99"/>
        <v>5129519.7788697788</v>
      </c>
      <c r="N759" s="10">
        <f t="shared" si="100"/>
        <v>2319682.8333333335</v>
      </c>
      <c r="O759" s="1">
        <f t="shared" si="101"/>
        <v>8</v>
      </c>
      <c r="P759" s="1">
        <f t="shared" si="102"/>
        <v>7</v>
      </c>
      <c r="Q759" s="1">
        <f t="shared" si="103"/>
        <v>1</v>
      </c>
      <c r="R759" s="6">
        <f t="shared" si="104"/>
        <v>0.55555555555555558</v>
      </c>
      <c r="S759" s="8">
        <f t="shared" si="105"/>
        <v>88.126105012901988</v>
      </c>
      <c r="T759" s="8">
        <f t="shared" si="106"/>
        <v>1.8738949870980122</v>
      </c>
      <c r="U759" t="str">
        <f t="shared" si="107"/>
        <v>High</v>
      </c>
    </row>
    <row r="760" spans="1:21">
      <c r="A760" s="1">
        <v>52</v>
      </c>
      <c r="B760" s="2">
        <v>2025</v>
      </c>
      <c r="C760" s="1" t="s">
        <v>21</v>
      </c>
      <c r="D760" s="1" t="s">
        <v>22</v>
      </c>
      <c r="E760" s="1" t="s">
        <v>17</v>
      </c>
      <c r="F760" s="1" t="s">
        <v>23</v>
      </c>
      <c r="G760" s="10">
        <v>208105000</v>
      </c>
      <c r="H760" s="1">
        <v>76</v>
      </c>
      <c r="I760" s="1">
        <v>86</v>
      </c>
      <c r="J760" s="5">
        <v>45</v>
      </c>
      <c r="K760" s="1" t="s">
        <v>20</v>
      </c>
      <c r="L760" s="1" t="s">
        <v>19</v>
      </c>
      <c r="M760" s="10">
        <f t="shared" si="99"/>
        <v>4624555.555555556</v>
      </c>
      <c r="N760" s="10">
        <f t="shared" si="100"/>
        <v>2738223.6842105263</v>
      </c>
      <c r="O760" s="1">
        <f t="shared" si="101"/>
        <v>9</v>
      </c>
      <c r="P760" s="1">
        <f t="shared" si="102"/>
        <v>22</v>
      </c>
      <c r="Q760" s="1">
        <f t="shared" si="103"/>
        <v>-13</v>
      </c>
      <c r="R760" s="6">
        <f t="shared" si="104"/>
        <v>0.46913580246913578</v>
      </c>
      <c r="S760" s="8">
        <f t="shared" si="105"/>
        <v>88.067920115649997</v>
      </c>
      <c r="T760" s="8">
        <f t="shared" si="106"/>
        <v>-12.067920115649997</v>
      </c>
      <c r="U760" t="str">
        <f t="shared" si="107"/>
        <v>High</v>
      </c>
    </row>
    <row r="761" spans="1:21">
      <c r="A761" s="1">
        <v>26</v>
      </c>
      <c r="B761" s="2">
        <v>2025</v>
      </c>
      <c r="C761" s="1" t="s">
        <v>15</v>
      </c>
      <c r="D761" s="1" t="s">
        <v>16</v>
      </c>
      <c r="E761" s="1" t="s">
        <v>17</v>
      </c>
      <c r="F761" s="1" t="s">
        <v>18</v>
      </c>
      <c r="G761" s="10">
        <v>195475535</v>
      </c>
      <c r="H761" s="1">
        <v>80</v>
      </c>
      <c r="I761" s="1">
        <v>82</v>
      </c>
      <c r="J761" s="5">
        <v>38.200000000000003</v>
      </c>
      <c r="K761" s="1" t="s">
        <v>19</v>
      </c>
      <c r="L761" s="1" t="s">
        <v>19</v>
      </c>
      <c r="M761" s="10">
        <f t="shared" si="99"/>
        <v>5117160.6020942405</v>
      </c>
      <c r="N761" s="10">
        <f t="shared" si="100"/>
        <v>2443444.1875</v>
      </c>
      <c r="O761" s="1">
        <f t="shared" si="101"/>
        <v>10</v>
      </c>
      <c r="P761" s="1">
        <f t="shared" si="102"/>
        <v>18</v>
      </c>
      <c r="Q761" s="1">
        <f t="shared" si="103"/>
        <v>-8</v>
      </c>
      <c r="R761" s="6">
        <f t="shared" si="104"/>
        <v>0.49382716049382713</v>
      </c>
      <c r="S761" s="8">
        <f t="shared" si="105"/>
        <v>86.965303849926613</v>
      </c>
      <c r="T761" s="8">
        <f t="shared" si="106"/>
        <v>-6.9653038499266131</v>
      </c>
      <c r="U761" t="str">
        <f t="shared" si="107"/>
        <v>High</v>
      </c>
    </row>
    <row r="762" spans="1:21">
      <c r="A762" s="1">
        <v>104</v>
      </c>
      <c r="B762" s="2">
        <v>2025</v>
      </c>
      <c r="C762" s="1" t="s">
        <v>28</v>
      </c>
      <c r="D762" s="1" t="s">
        <v>29</v>
      </c>
      <c r="E762" s="1" t="s">
        <v>26</v>
      </c>
      <c r="F762" s="1" t="s">
        <v>27</v>
      </c>
      <c r="G762" s="10">
        <v>193629093</v>
      </c>
      <c r="H762" s="1">
        <v>89</v>
      </c>
      <c r="I762" s="1">
        <v>73</v>
      </c>
      <c r="J762" s="5">
        <v>46</v>
      </c>
      <c r="K762" s="1" t="s">
        <v>20</v>
      </c>
      <c r="L762" s="1" t="s">
        <v>19</v>
      </c>
      <c r="M762" s="10">
        <f t="shared" si="99"/>
        <v>4209328.1086956523</v>
      </c>
      <c r="N762" s="10">
        <f t="shared" si="100"/>
        <v>2175607.7865168541</v>
      </c>
      <c r="O762" s="1">
        <f t="shared" si="101"/>
        <v>11</v>
      </c>
      <c r="P762" s="1">
        <f t="shared" si="102"/>
        <v>9</v>
      </c>
      <c r="Q762" s="1">
        <f t="shared" si="103"/>
        <v>2</v>
      </c>
      <c r="R762" s="6">
        <f t="shared" si="104"/>
        <v>0.54938271604938271</v>
      </c>
      <c r="S762" s="8">
        <f t="shared" si="105"/>
        <v>86.80410011066175</v>
      </c>
      <c r="T762" s="8">
        <f t="shared" si="106"/>
        <v>2.19589988933825</v>
      </c>
      <c r="U762" t="str">
        <f t="shared" si="107"/>
        <v>High</v>
      </c>
    </row>
    <row r="763" spans="1:21">
      <c r="A763" s="1">
        <v>130</v>
      </c>
      <c r="B763" s="2">
        <v>2025</v>
      </c>
      <c r="C763" s="1" t="s">
        <v>30</v>
      </c>
      <c r="D763" s="1" t="s">
        <v>31</v>
      </c>
      <c r="E763" s="1" t="s">
        <v>17</v>
      </c>
      <c r="F763" s="1" t="s">
        <v>32</v>
      </c>
      <c r="G763" s="10">
        <v>192788250</v>
      </c>
      <c r="H763" s="1">
        <v>92</v>
      </c>
      <c r="I763" s="1">
        <v>70</v>
      </c>
      <c r="J763" s="5">
        <v>43.7</v>
      </c>
      <c r="K763" s="1" t="s">
        <v>20</v>
      </c>
      <c r="L763" s="1" t="s">
        <v>19</v>
      </c>
      <c r="M763" s="10">
        <f t="shared" si="99"/>
        <v>4411630.4347826084</v>
      </c>
      <c r="N763" s="10">
        <f t="shared" si="100"/>
        <v>2095524.456521739</v>
      </c>
      <c r="O763" s="1">
        <f t="shared" si="101"/>
        <v>12</v>
      </c>
      <c r="P763" s="1">
        <f t="shared" si="102"/>
        <v>6</v>
      </c>
      <c r="Q763" s="1">
        <f t="shared" si="103"/>
        <v>6</v>
      </c>
      <c r="R763" s="6">
        <f t="shared" si="104"/>
        <v>0.5679012345679012</v>
      </c>
      <c r="S763" s="8">
        <f t="shared" si="105"/>
        <v>86.73069025769334</v>
      </c>
      <c r="T763" s="8">
        <f t="shared" si="106"/>
        <v>5.2693097423066604</v>
      </c>
      <c r="U763" t="str">
        <f t="shared" si="107"/>
        <v>High</v>
      </c>
    </row>
    <row r="764" spans="1:21">
      <c r="A764" s="1">
        <v>338</v>
      </c>
      <c r="B764" s="2">
        <v>2025</v>
      </c>
      <c r="C764" s="1" t="s">
        <v>49</v>
      </c>
      <c r="D764" s="1" t="s">
        <v>50</v>
      </c>
      <c r="E764" s="1" t="s">
        <v>26</v>
      </c>
      <c r="F764" s="1" t="s">
        <v>46</v>
      </c>
      <c r="G764" s="10">
        <v>192666966</v>
      </c>
      <c r="H764" s="1">
        <v>72</v>
      </c>
      <c r="I764" s="1">
        <v>90</v>
      </c>
      <c r="J764" s="5">
        <v>21.8</v>
      </c>
      <c r="K764" s="1" t="s">
        <v>19</v>
      </c>
      <c r="L764" s="1" t="s">
        <v>19</v>
      </c>
      <c r="M764" s="10">
        <f t="shared" si="99"/>
        <v>8837934.2201834861</v>
      </c>
      <c r="N764" s="10">
        <f t="shared" si="100"/>
        <v>2675930.0833333335</v>
      </c>
      <c r="O764" s="1">
        <f t="shared" si="101"/>
        <v>13</v>
      </c>
      <c r="P764" s="1">
        <f t="shared" si="102"/>
        <v>25</v>
      </c>
      <c r="Q764" s="1">
        <f t="shared" si="103"/>
        <v>-12</v>
      </c>
      <c r="R764" s="6">
        <f t="shared" si="104"/>
        <v>0.44444444444444442</v>
      </c>
      <c r="S764" s="8">
        <f t="shared" si="105"/>
        <v>86.720101550161218</v>
      </c>
      <c r="T764" s="8">
        <f t="shared" si="106"/>
        <v>-14.720101550161218</v>
      </c>
      <c r="U764" t="str">
        <f t="shared" si="107"/>
        <v>High</v>
      </c>
    </row>
    <row r="765" spans="1:21">
      <c r="A765" s="1">
        <v>624</v>
      </c>
      <c r="B765" s="2">
        <v>2025</v>
      </c>
      <c r="C765" s="1" t="s">
        <v>71</v>
      </c>
      <c r="D765" s="1" t="s">
        <v>72</v>
      </c>
      <c r="E765" s="1" t="s">
        <v>17</v>
      </c>
      <c r="F765" s="1" t="s">
        <v>18</v>
      </c>
      <c r="G765" s="10">
        <v>173019524</v>
      </c>
      <c r="H765" s="1">
        <v>81</v>
      </c>
      <c r="I765" s="1">
        <v>81</v>
      </c>
      <c r="J765" s="5">
        <v>39.1</v>
      </c>
      <c r="K765" s="1" t="s">
        <v>19</v>
      </c>
      <c r="L765" s="1" t="s">
        <v>19</v>
      </c>
      <c r="M765" s="10">
        <f t="shared" si="99"/>
        <v>4425051.7647058824</v>
      </c>
      <c r="N765" s="10">
        <f t="shared" si="100"/>
        <v>2136043.5061728396</v>
      </c>
      <c r="O765" s="1">
        <f t="shared" si="101"/>
        <v>14</v>
      </c>
      <c r="P765" s="1">
        <f t="shared" si="102"/>
        <v>16</v>
      </c>
      <c r="Q765" s="1">
        <f t="shared" si="103"/>
        <v>-2</v>
      </c>
      <c r="R765" s="6">
        <f t="shared" si="104"/>
        <v>0.5</v>
      </c>
      <c r="S765" s="8">
        <f t="shared" si="105"/>
        <v>85.004780344626653</v>
      </c>
      <c r="T765" s="8">
        <f t="shared" si="106"/>
        <v>-4.0047803446266528</v>
      </c>
      <c r="U765" t="str">
        <f t="shared" si="107"/>
        <v>High</v>
      </c>
    </row>
    <row r="766" spans="1:21">
      <c r="A766" s="1">
        <v>78</v>
      </c>
      <c r="B766" s="2">
        <v>2025</v>
      </c>
      <c r="C766" s="1" t="s">
        <v>24</v>
      </c>
      <c r="D766" s="1" t="s">
        <v>25</v>
      </c>
      <c r="E766" s="1" t="s">
        <v>26</v>
      </c>
      <c r="F766" s="1" t="s">
        <v>27</v>
      </c>
      <c r="G766" s="10">
        <v>159436000</v>
      </c>
      <c r="H766" s="1">
        <v>75</v>
      </c>
      <c r="I766" s="1">
        <v>87</v>
      </c>
      <c r="J766" s="5">
        <v>44.9</v>
      </c>
      <c r="K766" s="1" t="s">
        <v>19</v>
      </c>
      <c r="L766" s="1" t="s">
        <v>19</v>
      </c>
      <c r="M766" s="10">
        <f t="shared" si="99"/>
        <v>3550913.1403118041</v>
      </c>
      <c r="N766" s="10">
        <f t="shared" si="100"/>
        <v>2125813.3333333335</v>
      </c>
      <c r="O766" s="1">
        <f t="shared" si="101"/>
        <v>15</v>
      </c>
      <c r="P766" s="1">
        <f t="shared" si="102"/>
        <v>24</v>
      </c>
      <c r="Q766" s="1">
        <f t="shared" si="103"/>
        <v>-9</v>
      </c>
      <c r="R766" s="6">
        <f t="shared" si="104"/>
        <v>0.46296296296296297</v>
      </c>
      <c r="S766" s="8">
        <f t="shared" si="105"/>
        <v>83.818869895669081</v>
      </c>
      <c r="T766" s="8">
        <f t="shared" si="106"/>
        <v>-8.8188698956690814</v>
      </c>
      <c r="U766" t="str">
        <f t="shared" si="107"/>
        <v>High</v>
      </c>
    </row>
    <row r="767" spans="1:21">
      <c r="A767" s="1">
        <v>650</v>
      </c>
      <c r="B767" s="2">
        <v>2025</v>
      </c>
      <c r="C767" s="1" t="s">
        <v>73</v>
      </c>
      <c r="D767" s="1" t="s">
        <v>74</v>
      </c>
      <c r="E767" s="1" t="s">
        <v>26</v>
      </c>
      <c r="F767" s="1" t="s">
        <v>46</v>
      </c>
      <c r="G767" s="10">
        <v>149981148</v>
      </c>
      <c r="H767" s="1">
        <v>90</v>
      </c>
      <c r="I767" s="1">
        <v>72</v>
      </c>
      <c r="J767" s="5">
        <v>46.9</v>
      </c>
      <c r="K767" s="1" t="s">
        <v>20</v>
      </c>
      <c r="L767" s="1" t="s">
        <v>19</v>
      </c>
      <c r="M767" s="10">
        <f t="shared" si="99"/>
        <v>3197892.2814498935</v>
      </c>
      <c r="N767" s="10">
        <f t="shared" si="100"/>
        <v>1666457.2</v>
      </c>
      <c r="O767" s="1">
        <f t="shared" si="101"/>
        <v>16</v>
      </c>
      <c r="P767" s="1">
        <f t="shared" si="102"/>
        <v>7</v>
      </c>
      <c r="Q767" s="1">
        <f t="shared" si="103"/>
        <v>9</v>
      </c>
      <c r="R767" s="6">
        <f t="shared" si="104"/>
        <v>0.55555555555555558</v>
      </c>
      <c r="S767" s="8">
        <f t="shared" si="105"/>
        <v>82.993413425010417</v>
      </c>
      <c r="T767" s="8">
        <f t="shared" si="106"/>
        <v>7.0065865749895835</v>
      </c>
      <c r="U767" t="str">
        <f t="shared" si="107"/>
        <v>Mid</v>
      </c>
    </row>
    <row r="768" spans="1:21">
      <c r="A768" s="1">
        <v>442</v>
      </c>
      <c r="B768" s="2">
        <v>2025</v>
      </c>
      <c r="C768" s="1" t="s">
        <v>57</v>
      </c>
      <c r="D768" s="1" t="s">
        <v>58</v>
      </c>
      <c r="E768" s="1" t="s">
        <v>26</v>
      </c>
      <c r="F768" s="1" t="s">
        <v>35</v>
      </c>
      <c r="G768" s="10">
        <v>142812022</v>
      </c>
      <c r="H768" s="1">
        <v>70</v>
      </c>
      <c r="I768" s="1">
        <v>92</v>
      </c>
      <c r="J768" s="5">
        <v>33.9</v>
      </c>
      <c r="K768" s="1" t="s">
        <v>19</v>
      </c>
      <c r="L768" s="1" t="s">
        <v>19</v>
      </c>
      <c r="M768" s="10">
        <f t="shared" si="99"/>
        <v>4212744.01179941</v>
      </c>
      <c r="N768" s="10">
        <f t="shared" si="100"/>
        <v>2040171.7428571428</v>
      </c>
      <c r="O768" s="1">
        <f t="shared" si="101"/>
        <v>17</v>
      </c>
      <c r="P768" s="1">
        <f t="shared" si="102"/>
        <v>27</v>
      </c>
      <c r="Q768" s="1">
        <f t="shared" si="103"/>
        <v>-10</v>
      </c>
      <c r="R768" s="6">
        <f t="shared" si="104"/>
        <v>0.43209876543209874</v>
      </c>
      <c r="S768" s="8">
        <f t="shared" si="105"/>
        <v>82.367512411893841</v>
      </c>
      <c r="T768" s="8">
        <f t="shared" si="106"/>
        <v>-12.367512411893841</v>
      </c>
      <c r="U768" t="str">
        <f t="shared" si="107"/>
        <v>Mid</v>
      </c>
    </row>
    <row r="769" spans="1:21">
      <c r="A769" s="1">
        <v>260</v>
      </c>
      <c r="B769" s="2">
        <v>2025</v>
      </c>
      <c r="C769" s="1" t="s">
        <v>42</v>
      </c>
      <c r="D769" s="1" t="s">
        <v>43</v>
      </c>
      <c r="E769" s="1" t="s">
        <v>26</v>
      </c>
      <c r="F769" s="1" t="s">
        <v>35</v>
      </c>
      <c r="G769" s="10">
        <v>142428033</v>
      </c>
      <c r="H769" s="1">
        <v>87</v>
      </c>
      <c r="I769" s="1">
        <v>75</v>
      </c>
      <c r="J769" s="5">
        <v>44.9</v>
      </c>
      <c r="K769" s="1" t="s">
        <v>20</v>
      </c>
      <c r="L769" s="1" t="s">
        <v>19</v>
      </c>
      <c r="M769" s="10">
        <f t="shared" si="99"/>
        <v>3172116.5478841872</v>
      </c>
      <c r="N769" s="10">
        <f t="shared" si="100"/>
        <v>1637103.8275862068</v>
      </c>
      <c r="O769" s="1">
        <f t="shared" si="101"/>
        <v>18</v>
      </c>
      <c r="P769" s="1">
        <f t="shared" si="102"/>
        <v>11</v>
      </c>
      <c r="Q769" s="1">
        <f t="shared" si="103"/>
        <v>7</v>
      </c>
      <c r="R769" s="6">
        <f t="shared" si="104"/>
        <v>0.53703703703703709</v>
      </c>
      <c r="S769" s="8">
        <f t="shared" si="105"/>
        <v>82.333988227198844</v>
      </c>
      <c r="T769" s="8">
        <f t="shared" si="106"/>
        <v>4.6660117728011556</v>
      </c>
      <c r="U769" t="str">
        <f t="shared" si="107"/>
        <v>Mid</v>
      </c>
    </row>
    <row r="770" spans="1:21">
      <c r="A770" s="1">
        <v>676</v>
      </c>
      <c r="B770" s="2">
        <v>2025</v>
      </c>
      <c r="C770" s="1" t="s">
        <v>75</v>
      </c>
      <c r="D770" s="1" t="s">
        <v>76</v>
      </c>
      <c r="E770" s="1" t="s">
        <v>17</v>
      </c>
      <c r="F770" s="1" t="s">
        <v>32</v>
      </c>
      <c r="G770" s="10">
        <v>141455626</v>
      </c>
      <c r="H770" s="1">
        <v>78</v>
      </c>
      <c r="I770" s="1">
        <v>84</v>
      </c>
      <c r="J770" s="5">
        <v>36.200000000000003</v>
      </c>
      <c r="K770" s="1" t="s">
        <v>19</v>
      </c>
      <c r="L770" s="1" t="s">
        <v>19</v>
      </c>
      <c r="M770" s="10">
        <f t="shared" ref="M770:M781" si="108">G770/J770</f>
        <v>3907613.9779005521</v>
      </c>
      <c r="N770" s="10">
        <f t="shared" ref="N770:N781" si="109">G770/H770</f>
        <v>1813533.6666666667</v>
      </c>
      <c r="O770" s="1">
        <f t="shared" si="101"/>
        <v>19</v>
      </c>
      <c r="P770" s="1">
        <f t="shared" si="102"/>
        <v>20</v>
      </c>
      <c r="Q770" s="1">
        <f t="shared" si="103"/>
        <v>-1</v>
      </c>
      <c r="R770" s="6">
        <f t="shared" si="104"/>
        <v>0.48148148148148145</v>
      </c>
      <c r="S770" s="8">
        <f t="shared" si="105"/>
        <v>82.249092170627705</v>
      </c>
      <c r="T770" s="8">
        <f t="shared" si="106"/>
        <v>-4.2490921706277049</v>
      </c>
      <c r="U770" t="str">
        <f t="shared" si="107"/>
        <v>Mid</v>
      </c>
    </row>
    <row r="771" spans="1:21">
      <c r="A771" s="1">
        <v>312</v>
      </c>
      <c r="B771" s="2">
        <v>2025</v>
      </c>
      <c r="C771" s="1" t="s">
        <v>47</v>
      </c>
      <c r="D771" s="1" t="s">
        <v>48</v>
      </c>
      <c r="E771" s="1" t="s">
        <v>26</v>
      </c>
      <c r="F771" s="1" t="s">
        <v>35</v>
      </c>
      <c r="G771" s="10">
        <v>129606656</v>
      </c>
      <c r="H771" s="1">
        <v>82</v>
      </c>
      <c r="I771" s="1">
        <v>80</v>
      </c>
      <c r="J771" s="5">
        <v>38.5</v>
      </c>
      <c r="K771" s="1" t="s">
        <v>19</v>
      </c>
      <c r="L771" s="1" t="s">
        <v>19</v>
      </c>
      <c r="M771" s="10">
        <f t="shared" si="108"/>
        <v>3366406.6493506492</v>
      </c>
      <c r="N771" s="10">
        <f t="shared" si="109"/>
        <v>1580568.9756097561</v>
      </c>
      <c r="O771" s="1">
        <f t="shared" ref="O771:O781" si="110">COUNTIFS($B$2:$B$1000, B771, $G$2:$G$1000, "&gt;"&amp;G771) + 1</f>
        <v>20</v>
      </c>
      <c r="P771" s="1">
        <f t="shared" ref="P771:P781" si="111">COUNTIFS($B$2:$B$1000, B771, $H$2:$H$1000, "&gt;"&amp;H771) + 1</f>
        <v>15</v>
      </c>
      <c r="Q771" s="1">
        <f t="shared" ref="Q771:Q781" si="112">O771-P771</f>
        <v>5</v>
      </c>
      <c r="R771" s="6">
        <f t="shared" ref="R771:R781" si="113">H771/(H771+I771)</f>
        <v>0.50617283950617287</v>
      </c>
      <c r="S771" s="8">
        <f t="shared" ref="S771:S781" si="114">_xlfn.FORECAST.LINEAR(G771, $H$2:$H$781, $G$2:$G$781)</f>
        <v>81.214617071795857</v>
      </c>
      <c r="T771" s="8">
        <f t="shared" ref="T771:T781" si="115">H771-S771</f>
        <v>0.78538292820414313</v>
      </c>
      <c r="U771" t="str">
        <f t="shared" ref="U771:U781" si="116">IF(G771&lt;80000000,"Low",
 IF(G771&lt;150000000,"Mid","High"))</f>
        <v>Mid</v>
      </c>
    </row>
    <row r="772" spans="1:21">
      <c r="A772" s="1">
        <v>234</v>
      </c>
      <c r="B772" s="2">
        <v>2025</v>
      </c>
      <c r="C772" s="1" t="s">
        <v>40</v>
      </c>
      <c r="D772" s="1" t="s">
        <v>41</v>
      </c>
      <c r="E772" s="1" t="s">
        <v>17</v>
      </c>
      <c r="F772" s="1" t="s">
        <v>18</v>
      </c>
      <c r="G772" s="10">
        <v>122006986</v>
      </c>
      <c r="H772" s="1">
        <v>43</v>
      </c>
      <c r="I772" s="1">
        <v>119</v>
      </c>
      <c r="J772" s="5">
        <v>12.1</v>
      </c>
      <c r="K772" s="1" t="s">
        <v>19</v>
      </c>
      <c r="L772" s="1" t="s">
        <v>19</v>
      </c>
      <c r="M772" s="10">
        <f t="shared" si="108"/>
        <v>10083221.983471075</v>
      </c>
      <c r="N772" s="10">
        <f t="shared" si="109"/>
        <v>2837371.7674418604</v>
      </c>
      <c r="O772" s="1">
        <f t="shared" si="110"/>
        <v>21</v>
      </c>
      <c r="P772" s="1">
        <f t="shared" si="111"/>
        <v>30</v>
      </c>
      <c r="Q772" s="1">
        <f t="shared" si="112"/>
        <v>-9</v>
      </c>
      <c r="R772" s="6">
        <f t="shared" si="113"/>
        <v>0.26543209876543211</v>
      </c>
      <c r="S772" s="8">
        <f t="shared" si="114"/>
        <v>80.551127386672221</v>
      </c>
      <c r="T772" s="8">
        <f t="shared" si="115"/>
        <v>-37.551127386672221</v>
      </c>
      <c r="U772" t="str">
        <f t="shared" si="116"/>
        <v>Mid</v>
      </c>
    </row>
    <row r="773" spans="1:21">
      <c r="A773" s="1">
        <v>182</v>
      </c>
      <c r="B773" s="2">
        <v>2025</v>
      </c>
      <c r="C773" s="1" t="s">
        <v>36</v>
      </c>
      <c r="D773" s="1" t="s">
        <v>37</v>
      </c>
      <c r="E773" s="1" t="s">
        <v>17</v>
      </c>
      <c r="F773" s="1" t="s">
        <v>32</v>
      </c>
      <c r="G773" s="10">
        <v>115966833</v>
      </c>
      <c r="H773" s="1">
        <v>83</v>
      </c>
      <c r="I773" s="1">
        <v>79</v>
      </c>
      <c r="J773" s="5">
        <v>34.5</v>
      </c>
      <c r="K773" s="1" t="s">
        <v>20</v>
      </c>
      <c r="L773" s="1" t="s">
        <v>19</v>
      </c>
      <c r="M773" s="10">
        <f t="shared" si="108"/>
        <v>3361357.4782608696</v>
      </c>
      <c r="N773" s="10">
        <f t="shared" si="109"/>
        <v>1397190.7590361445</v>
      </c>
      <c r="O773" s="1">
        <f t="shared" si="110"/>
        <v>22</v>
      </c>
      <c r="P773" s="1">
        <f t="shared" si="111"/>
        <v>13</v>
      </c>
      <c r="Q773" s="1">
        <f t="shared" si="112"/>
        <v>9</v>
      </c>
      <c r="R773" s="6">
        <f t="shared" si="113"/>
        <v>0.51234567901234573</v>
      </c>
      <c r="S773" s="8">
        <f t="shared" si="114"/>
        <v>80.023791434970562</v>
      </c>
      <c r="T773" s="8">
        <f t="shared" si="115"/>
        <v>2.9762085650294381</v>
      </c>
      <c r="U773" t="str">
        <f t="shared" si="116"/>
        <v>Mid</v>
      </c>
    </row>
    <row r="774" spans="1:21">
      <c r="A774" s="1">
        <v>416</v>
      </c>
      <c r="B774" s="2">
        <v>2025</v>
      </c>
      <c r="C774" s="1" t="s">
        <v>55</v>
      </c>
      <c r="D774" s="1" t="s">
        <v>56</v>
      </c>
      <c r="E774" s="1" t="s">
        <v>17</v>
      </c>
      <c r="F774" s="1" t="s">
        <v>32</v>
      </c>
      <c r="G774" s="10">
        <v>114773471</v>
      </c>
      <c r="H774" s="1">
        <v>97</v>
      </c>
      <c r="I774" s="1">
        <v>65</v>
      </c>
      <c r="J774" s="5">
        <v>38.4</v>
      </c>
      <c r="K774" s="1" t="s">
        <v>20</v>
      </c>
      <c r="L774" s="1" t="s">
        <v>19</v>
      </c>
      <c r="M774" s="10">
        <f t="shared" si="108"/>
        <v>2988892.4739583335</v>
      </c>
      <c r="N774" s="10">
        <f t="shared" si="109"/>
        <v>1183231.6597938144</v>
      </c>
      <c r="O774" s="1">
        <f t="shared" si="110"/>
        <v>23</v>
      </c>
      <c r="P774" s="1">
        <f t="shared" si="111"/>
        <v>1</v>
      </c>
      <c r="Q774" s="1">
        <f t="shared" si="112"/>
        <v>22</v>
      </c>
      <c r="R774" s="6">
        <f t="shared" si="113"/>
        <v>0.59876543209876543</v>
      </c>
      <c r="S774" s="8">
        <f t="shared" si="114"/>
        <v>79.91960488771015</v>
      </c>
      <c r="T774" s="8">
        <f t="shared" si="115"/>
        <v>17.08039511228985</v>
      </c>
      <c r="U774" t="str">
        <f t="shared" si="116"/>
        <v>Mid</v>
      </c>
    </row>
    <row r="775" spans="1:21">
      <c r="A775" s="1">
        <v>780</v>
      </c>
      <c r="B775" s="2">
        <v>2025</v>
      </c>
      <c r="C775" s="1" t="s">
        <v>83</v>
      </c>
      <c r="D775" s="1" t="s">
        <v>84</v>
      </c>
      <c r="E775" s="1" t="s">
        <v>17</v>
      </c>
      <c r="F775" s="1" t="s">
        <v>23</v>
      </c>
      <c r="G775" s="10">
        <v>107241762</v>
      </c>
      <c r="H775" s="1">
        <v>66</v>
      </c>
      <c r="I775" s="1">
        <v>96</v>
      </c>
      <c r="J775" s="5">
        <v>20.6</v>
      </c>
      <c r="K775" s="1" t="s">
        <v>19</v>
      </c>
      <c r="L775" s="1" t="s">
        <v>19</v>
      </c>
      <c r="M775" s="10">
        <f t="shared" si="108"/>
        <v>5205910.7766990289</v>
      </c>
      <c r="N775" s="10">
        <f t="shared" si="109"/>
        <v>1624875.1818181819</v>
      </c>
      <c r="O775" s="1">
        <f t="shared" si="110"/>
        <v>24</v>
      </c>
      <c r="P775" s="1">
        <f t="shared" si="111"/>
        <v>28</v>
      </c>
      <c r="Q775" s="1">
        <f t="shared" si="112"/>
        <v>-4</v>
      </c>
      <c r="R775" s="6">
        <f t="shared" si="113"/>
        <v>0.40740740740740738</v>
      </c>
      <c r="S775" s="8">
        <f t="shared" si="114"/>
        <v>79.262048542125029</v>
      </c>
      <c r="T775" s="8">
        <f t="shared" si="115"/>
        <v>-13.262048542125029</v>
      </c>
      <c r="U775" t="str">
        <f t="shared" si="116"/>
        <v>Mid</v>
      </c>
    </row>
    <row r="776" spans="1:21">
      <c r="A776" s="1">
        <v>208</v>
      </c>
      <c r="B776" s="2">
        <v>2025</v>
      </c>
      <c r="C776" s="1" t="s">
        <v>38</v>
      </c>
      <c r="D776" s="1" t="s">
        <v>39</v>
      </c>
      <c r="E776" s="1" t="s">
        <v>26</v>
      </c>
      <c r="F776" s="1" t="s">
        <v>35</v>
      </c>
      <c r="G776" s="10">
        <v>102523729</v>
      </c>
      <c r="H776" s="1">
        <v>88</v>
      </c>
      <c r="I776" s="1">
        <v>74</v>
      </c>
      <c r="J776" s="5">
        <v>34.799999999999997</v>
      </c>
      <c r="K776" s="1" t="s">
        <v>20</v>
      </c>
      <c r="L776" s="1" t="s">
        <v>19</v>
      </c>
      <c r="M776" s="10">
        <f t="shared" si="108"/>
        <v>2946084.166666667</v>
      </c>
      <c r="N776" s="10">
        <f t="shared" si="109"/>
        <v>1165042.375</v>
      </c>
      <c r="O776" s="1">
        <f t="shared" si="110"/>
        <v>25</v>
      </c>
      <c r="P776" s="1">
        <f t="shared" si="111"/>
        <v>10</v>
      </c>
      <c r="Q776" s="1">
        <f t="shared" si="112"/>
        <v>15</v>
      </c>
      <c r="R776" s="6">
        <f t="shared" si="113"/>
        <v>0.54320987654320985</v>
      </c>
      <c r="S776" s="8">
        <f t="shared" si="114"/>
        <v>78.850140363273454</v>
      </c>
      <c r="T776" s="8">
        <f t="shared" si="115"/>
        <v>9.1498596367265463</v>
      </c>
      <c r="U776" t="str">
        <f t="shared" si="116"/>
        <v>Mid</v>
      </c>
    </row>
    <row r="777" spans="1:21">
      <c r="A777" s="1">
        <v>572</v>
      </c>
      <c r="B777" s="2">
        <v>2025</v>
      </c>
      <c r="C777" s="1" t="s">
        <v>67</v>
      </c>
      <c r="D777" s="1" t="s">
        <v>68</v>
      </c>
      <c r="E777" s="1" t="s">
        <v>17</v>
      </c>
      <c r="F777" s="1" t="s">
        <v>32</v>
      </c>
      <c r="G777" s="10">
        <v>87883875</v>
      </c>
      <c r="H777" s="1">
        <v>71</v>
      </c>
      <c r="I777" s="1">
        <v>91</v>
      </c>
      <c r="J777" s="5">
        <v>31.4</v>
      </c>
      <c r="K777" s="1" t="s">
        <v>19</v>
      </c>
      <c r="L777" s="1" t="s">
        <v>19</v>
      </c>
      <c r="M777" s="10">
        <f t="shared" si="108"/>
        <v>2798849.522292994</v>
      </c>
      <c r="N777" s="10">
        <f t="shared" si="109"/>
        <v>1237801.0563380283</v>
      </c>
      <c r="O777" s="1">
        <f t="shared" si="110"/>
        <v>26</v>
      </c>
      <c r="P777" s="1">
        <f t="shared" si="111"/>
        <v>26</v>
      </c>
      <c r="Q777" s="1">
        <f t="shared" si="112"/>
        <v>0</v>
      </c>
      <c r="R777" s="6">
        <f t="shared" si="113"/>
        <v>0.43827160493827161</v>
      </c>
      <c r="S777" s="8">
        <f t="shared" si="114"/>
        <v>77.572006954754926</v>
      </c>
      <c r="T777" s="8">
        <f t="shared" si="115"/>
        <v>-6.5720069547549258</v>
      </c>
      <c r="U777" t="str">
        <f t="shared" si="116"/>
        <v>Mid</v>
      </c>
    </row>
    <row r="778" spans="1:21">
      <c r="A778" s="1">
        <v>156</v>
      </c>
      <c r="B778" s="2">
        <v>2025</v>
      </c>
      <c r="C778" s="1" t="s">
        <v>33</v>
      </c>
      <c r="D778" s="1" t="s">
        <v>34</v>
      </c>
      <c r="E778" s="1" t="s">
        <v>26</v>
      </c>
      <c r="F778" s="1" t="s">
        <v>35</v>
      </c>
      <c r="G778" s="10">
        <v>80908625</v>
      </c>
      <c r="H778" s="1">
        <v>60</v>
      </c>
      <c r="I778" s="1">
        <v>102</v>
      </c>
      <c r="J778" s="5">
        <v>18.399999999999999</v>
      </c>
      <c r="K778" s="1" t="s">
        <v>19</v>
      </c>
      <c r="L778" s="1" t="s">
        <v>19</v>
      </c>
      <c r="M778" s="10">
        <f t="shared" si="108"/>
        <v>4397207.8804347832</v>
      </c>
      <c r="N778" s="10">
        <f t="shared" si="109"/>
        <v>1348477.0833333333</v>
      </c>
      <c r="O778" s="1">
        <f t="shared" si="110"/>
        <v>27</v>
      </c>
      <c r="P778" s="1">
        <f t="shared" si="111"/>
        <v>29</v>
      </c>
      <c r="Q778" s="1">
        <f t="shared" si="112"/>
        <v>-2</v>
      </c>
      <c r="R778" s="6">
        <f t="shared" si="113"/>
        <v>0.37037037037037035</v>
      </c>
      <c r="S778" s="8">
        <f t="shared" si="114"/>
        <v>76.963032298466089</v>
      </c>
      <c r="T778" s="8">
        <f t="shared" si="115"/>
        <v>-16.963032298466089</v>
      </c>
      <c r="U778" t="str">
        <f t="shared" si="116"/>
        <v>Mid</v>
      </c>
    </row>
    <row r="779" spans="1:21">
      <c r="A779" s="1">
        <v>702</v>
      </c>
      <c r="B779" s="2">
        <v>2025</v>
      </c>
      <c r="C779" s="1" t="s">
        <v>77</v>
      </c>
      <c r="D779" s="1" t="s">
        <v>78</v>
      </c>
      <c r="E779" s="1" t="s">
        <v>26</v>
      </c>
      <c r="F779" s="1" t="s">
        <v>27</v>
      </c>
      <c r="G779" s="10">
        <v>79216312</v>
      </c>
      <c r="H779" s="1">
        <v>77</v>
      </c>
      <c r="I779" s="1">
        <v>85</v>
      </c>
      <c r="J779" s="5">
        <v>38.9</v>
      </c>
      <c r="K779" s="1" t="s">
        <v>19</v>
      </c>
      <c r="L779" s="1" t="s">
        <v>19</v>
      </c>
      <c r="M779" s="10">
        <f t="shared" si="108"/>
        <v>2036409.0488431877</v>
      </c>
      <c r="N779" s="10">
        <f t="shared" si="109"/>
        <v>1028783.2727272727</v>
      </c>
      <c r="O779" s="1">
        <f t="shared" si="110"/>
        <v>28</v>
      </c>
      <c r="P779" s="1">
        <f t="shared" si="111"/>
        <v>21</v>
      </c>
      <c r="Q779" s="1">
        <f t="shared" si="112"/>
        <v>7</v>
      </c>
      <c r="R779" s="6">
        <f t="shared" si="113"/>
        <v>0.47530864197530864</v>
      </c>
      <c r="S779" s="8">
        <f t="shared" si="114"/>
        <v>76.81528480160101</v>
      </c>
      <c r="T779" s="8">
        <f t="shared" si="115"/>
        <v>0.18471519839899031</v>
      </c>
      <c r="U779" t="str">
        <f t="shared" si="116"/>
        <v>Low</v>
      </c>
    </row>
    <row r="780" spans="1:21">
      <c r="A780" s="1">
        <v>520</v>
      </c>
      <c r="B780" s="2">
        <v>2025</v>
      </c>
      <c r="C780" s="1" t="s">
        <v>63</v>
      </c>
      <c r="D780" s="1" t="s">
        <v>64</v>
      </c>
      <c r="E780" s="1" t="s">
        <v>26</v>
      </c>
      <c r="F780" s="1" t="s">
        <v>46</v>
      </c>
      <c r="G780" s="10">
        <v>74908652</v>
      </c>
      <c r="H780" s="1">
        <v>76</v>
      </c>
      <c r="I780" s="1">
        <v>86</v>
      </c>
      <c r="J780" s="5">
        <v>37.299999999999997</v>
      </c>
      <c r="K780" s="1" t="s">
        <v>19</v>
      </c>
      <c r="L780" s="1" t="s">
        <v>19</v>
      </c>
      <c r="M780" s="10">
        <f t="shared" si="108"/>
        <v>2008274.852546917</v>
      </c>
      <c r="N780" s="10">
        <f t="shared" si="109"/>
        <v>985640.15789473685</v>
      </c>
      <c r="O780" s="1">
        <f t="shared" si="110"/>
        <v>29</v>
      </c>
      <c r="P780" s="1">
        <f t="shared" si="111"/>
        <v>22</v>
      </c>
      <c r="Q780" s="1">
        <f t="shared" si="112"/>
        <v>7</v>
      </c>
      <c r="R780" s="6">
        <f t="shared" si="113"/>
        <v>0.46913580246913578</v>
      </c>
      <c r="S780" s="8">
        <f t="shared" si="114"/>
        <v>76.439204264285607</v>
      </c>
      <c r="T780" s="8">
        <f t="shared" si="115"/>
        <v>-0.43920426428560688</v>
      </c>
      <c r="U780" t="str">
        <f t="shared" si="116"/>
        <v>Low</v>
      </c>
    </row>
    <row r="781" spans="1:21">
      <c r="A781" s="1">
        <v>390</v>
      </c>
      <c r="B781" s="2">
        <v>2025</v>
      </c>
      <c r="C781" s="1" t="s">
        <v>53</v>
      </c>
      <c r="D781" s="1" t="s">
        <v>54</v>
      </c>
      <c r="E781" s="1" t="s">
        <v>17</v>
      </c>
      <c r="F781" s="1" t="s">
        <v>23</v>
      </c>
      <c r="G781" s="10">
        <v>64893725</v>
      </c>
      <c r="H781" s="1">
        <v>79</v>
      </c>
      <c r="I781" s="1">
        <v>83</v>
      </c>
      <c r="J781" s="5">
        <v>31.2</v>
      </c>
      <c r="K781" s="1" t="s">
        <v>19</v>
      </c>
      <c r="L781" s="1" t="s">
        <v>19</v>
      </c>
      <c r="M781" s="10">
        <f t="shared" si="108"/>
        <v>2079927.0833333335</v>
      </c>
      <c r="N781" s="10">
        <f t="shared" si="109"/>
        <v>821439.55696202535</v>
      </c>
      <c r="O781" s="1">
        <f t="shared" si="110"/>
        <v>30</v>
      </c>
      <c r="P781" s="1">
        <f t="shared" si="111"/>
        <v>19</v>
      </c>
      <c r="Q781" s="1">
        <f t="shared" si="112"/>
        <v>11</v>
      </c>
      <c r="R781" s="6">
        <f t="shared" si="113"/>
        <v>0.48765432098765432</v>
      </c>
      <c r="S781" s="8">
        <f t="shared" si="114"/>
        <v>75.56485040921477</v>
      </c>
      <c r="T781" s="8">
        <f t="shared" si="115"/>
        <v>3.4351495907852296</v>
      </c>
      <c r="U781" t="str">
        <f t="shared" si="116"/>
        <v>Low</v>
      </c>
    </row>
    <row r="782" spans="1:21">
      <c r="A782" s="1"/>
      <c r="B782" s="2"/>
      <c r="C782" s="1"/>
      <c r="D782" s="1"/>
      <c r="E782" s="1"/>
      <c r="F782" s="1"/>
      <c r="G782" s="10"/>
      <c r="H782" s="1"/>
      <c r="I782" s="1"/>
      <c r="J782" s="4"/>
      <c r="K782" s="1"/>
      <c r="L782" s="1"/>
      <c r="M782" s="10"/>
      <c r="N782" s="10"/>
      <c r="O782" s="1"/>
      <c r="P782" s="1"/>
      <c r="Q782" s="1"/>
    </row>
    <row r="783" spans="1:21">
      <c r="A783" s="1"/>
      <c r="B783" s="2"/>
      <c r="C783" s="1"/>
      <c r="D783" s="1"/>
      <c r="E783" s="1"/>
      <c r="F783" s="1"/>
      <c r="G783" s="10"/>
      <c r="H783" s="1"/>
      <c r="I783" s="1"/>
      <c r="J783" s="1"/>
      <c r="K783" s="1"/>
      <c r="L783" s="1"/>
      <c r="M783" s="10"/>
      <c r="N783" s="10"/>
      <c r="O783" s="1"/>
      <c r="P783" s="1"/>
      <c r="Q783" s="1"/>
    </row>
    <row r="784" spans="1:21">
      <c r="A784" s="1"/>
      <c r="B784" s="2"/>
      <c r="C784" s="1"/>
      <c r="D784" s="1"/>
      <c r="E784" s="1"/>
      <c r="F784" s="1"/>
      <c r="G784" s="10"/>
      <c r="H784" s="1"/>
      <c r="I784" s="1"/>
      <c r="J784" s="1"/>
      <c r="K784" s="1"/>
      <c r="L784" s="1"/>
      <c r="M784" s="10"/>
      <c r="N784" s="10"/>
      <c r="O784" s="1"/>
      <c r="P784" s="1"/>
      <c r="Q784" s="1"/>
    </row>
    <row r="785" spans="1:17">
      <c r="A785" s="1"/>
      <c r="B785" s="2"/>
      <c r="C785" s="1"/>
      <c r="D785" s="1"/>
      <c r="E785" s="1"/>
      <c r="F785" s="1"/>
      <c r="G785" s="10"/>
      <c r="H785" s="1"/>
      <c r="I785" s="1"/>
      <c r="J785" s="1"/>
      <c r="K785" s="1"/>
      <c r="L785" s="1"/>
      <c r="M785" s="10"/>
      <c r="N785" s="10"/>
      <c r="O785" s="1"/>
      <c r="P785" s="1"/>
      <c r="Q785" s="1"/>
    </row>
    <row r="786" spans="1:17">
      <c r="A786" s="1"/>
      <c r="B786" s="2"/>
      <c r="C786" s="1"/>
      <c r="D786" s="1"/>
      <c r="E786" s="1"/>
      <c r="F786" s="1"/>
      <c r="G786" s="10"/>
      <c r="H786" s="1"/>
      <c r="I786" s="1"/>
      <c r="J786" s="1"/>
      <c r="K786" s="1"/>
      <c r="L786" s="1"/>
      <c r="M786" s="10"/>
      <c r="N786" s="10"/>
      <c r="O786" s="1"/>
      <c r="P786" s="1"/>
      <c r="Q786" s="1"/>
    </row>
    <row r="787" spans="1:17">
      <c r="A787" s="1"/>
      <c r="B787" s="2"/>
      <c r="C787" s="1"/>
      <c r="D787" s="1"/>
      <c r="E787" s="1"/>
      <c r="F787" s="1"/>
      <c r="G787" s="12"/>
      <c r="H787" s="1"/>
      <c r="I787" s="1"/>
      <c r="J787" s="1"/>
      <c r="K787" s="1"/>
      <c r="L787" s="1"/>
      <c r="M787" s="10"/>
      <c r="N787" s="10"/>
      <c r="O787" s="1"/>
      <c r="P787" s="1"/>
      <c r="Q787" s="1"/>
    </row>
  </sheetData>
  <autoFilter ref="A1:Q781" xr:uid="{39910CCD-F167-4CAE-B54F-2F29DEFBF70C}">
    <sortState xmlns:xlrd2="http://schemas.microsoft.com/office/spreadsheetml/2017/richdata2" ref="A2:Q781">
      <sortCondition ref="B1:B78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Nordhoff</dc:creator>
  <cp:lastModifiedBy>Ethan Nordhoff</cp:lastModifiedBy>
  <dcterms:created xsi:type="dcterms:W3CDTF">2026-03-23T02:50:07Z</dcterms:created>
  <dcterms:modified xsi:type="dcterms:W3CDTF">2026-03-26T19:44:31Z</dcterms:modified>
</cp:coreProperties>
</file>